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ttps://d.docs.live.net/f750df2a4a65eed0/المستندات/Excel/Dash board/"/>
    </mc:Choice>
  </mc:AlternateContent>
  <xr:revisionPtr revIDLastSave="6" documentId="8_{959C04AD-4496-421D-82DA-2D4A5577D061}" xr6:coauthVersionLast="47" xr6:coauthVersionMax="47" xr10:uidLastSave="{EB8009D8-3C8F-4131-8AD4-B1850214B31C}"/>
  <bookViews>
    <workbookView xWindow="-110" yWindow="-110" windowWidth="19420" windowHeight="11020" activeTab="1" xr2:uid="{00000000-000D-0000-FFFF-FFFF00000000}"/>
  </bookViews>
  <sheets>
    <sheet name="Data - Cleaned" sheetId="21" r:id="rId1"/>
    <sheet name="PIVOT TABLE" sheetId="34" r:id="rId2"/>
    <sheet name="D" sheetId="24" r:id="rId3"/>
    <sheet name="Sheet1" sheetId="35" r:id="rId4"/>
    <sheet name="Dshbord" sheetId="10" state="hidden" r:id="rId5"/>
  </sheets>
  <externalReferences>
    <externalReference r:id="rId6"/>
  </externalReferences>
  <definedNames>
    <definedName name="_xlnm._FilterDatabase" localSheetId="0" hidden="1">'Data - Cleaned'!$A$1:$U$122</definedName>
    <definedName name="Slicer_الحاله">#N/A</definedName>
    <definedName name="Slicer_العنوان_2">#N/A</definedName>
    <definedName name="Slicer_سعر_البيع">#N/A</definedName>
    <definedName name="Slicer_طريقة_الدفع">#N/A</definedName>
    <definedName name="Slicer_منصة_البيع_2">#N/A</definedName>
  </definedNames>
  <calcPr calcId="191028"/>
  <pivotCaches>
    <pivotCache cacheId="17" r:id="rId7"/>
  </pivotCaches>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22" i="21" l="1"/>
  <c r="N116" i="21"/>
  <c r="N114" i="21"/>
  <c r="N109" i="21"/>
  <c r="N106" i="21"/>
  <c r="N105" i="21"/>
  <c r="N102" i="21"/>
  <c r="N101" i="21"/>
  <c r="N95" i="21"/>
  <c r="N90" i="21"/>
  <c r="N89" i="21"/>
  <c r="N88" i="21"/>
  <c r="N85" i="21"/>
  <c r="N84" i="21"/>
  <c r="N77" i="21"/>
  <c r="N75" i="21"/>
  <c r="N68" i="21"/>
  <c r="N67" i="21"/>
  <c r="N66" i="21"/>
  <c r="N65" i="21"/>
  <c r="N64" i="21"/>
  <c r="N63" i="21"/>
  <c r="N62" i="21"/>
  <c r="N61" i="21"/>
  <c r="N60" i="21"/>
  <c r="N59" i="21"/>
  <c r="N58" i="21"/>
  <c r="N57" i="21"/>
  <c r="N56" i="21"/>
  <c r="N55" i="21"/>
  <c r="N54" i="21"/>
  <c r="N53" i="21"/>
  <c r="N52" i="21"/>
  <c r="N51" i="21"/>
  <c r="N50" i="21"/>
  <c r="N49" i="21"/>
  <c r="N48" i="21"/>
  <c r="N47" i="21"/>
  <c r="N46" i="21"/>
  <c r="N45" i="21"/>
  <c r="N44" i="21"/>
  <c r="N41" i="21"/>
  <c r="N40" i="21"/>
  <c r="N39" i="21"/>
  <c r="N38" i="21"/>
  <c r="N35" i="21"/>
  <c r="N34" i="21"/>
  <c r="N33" i="21"/>
  <c r="N32" i="21"/>
  <c r="N31" i="21"/>
  <c r="N26" i="21"/>
  <c r="N25" i="21"/>
  <c r="N24" i="21"/>
  <c r="N23" i="21"/>
  <c r="N22" i="21"/>
  <c r="N20" i="21"/>
  <c r="N16" i="21"/>
  <c r="N9" i="21"/>
  <c r="N7" i="21"/>
  <c r="N5" i="21"/>
  <c r="N82" i="21"/>
  <c r="N81" i="21"/>
  <c r="N80" i="21"/>
  <c r="N79" i="21"/>
  <c r="AR20" i="34"/>
  <c r="AS20" i="34"/>
  <c r="AR21" i="34"/>
  <c r="AS21" i="34"/>
  <c r="AS19" i="34"/>
  <c r="AR19" i="34"/>
  <c r="N2" i="21"/>
  <c r="N3" i="21"/>
  <c r="N4" i="21"/>
  <c r="N6" i="21"/>
  <c r="N8" i="21"/>
  <c r="N10" i="21"/>
  <c r="N11" i="21"/>
  <c r="N12" i="21"/>
  <c r="N13" i="21"/>
  <c r="N14" i="21"/>
  <c r="N15" i="21"/>
  <c r="N17" i="21"/>
  <c r="N18" i="21"/>
  <c r="N19" i="21"/>
  <c r="N21" i="21"/>
  <c r="N27" i="21"/>
  <c r="N28" i="21"/>
  <c r="N29" i="21"/>
  <c r="N30" i="21"/>
  <c r="N36" i="21"/>
  <c r="N37" i="21"/>
  <c r="N42" i="21"/>
  <c r="N43" i="21"/>
  <c r="N69" i="21"/>
  <c r="N70" i="21"/>
  <c r="N71" i="21"/>
  <c r="N72" i="21"/>
  <c r="N73" i="21"/>
  <c r="N74" i="21"/>
  <c r="N76" i="21"/>
  <c r="N78" i="21"/>
  <c r="N83" i="21"/>
  <c r="N86" i="21"/>
  <c r="N87" i="21"/>
  <c r="N91" i="21"/>
  <c r="N92" i="21"/>
  <c r="N93" i="21"/>
  <c r="N94" i="21"/>
  <c r="N96" i="21"/>
  <c r="N97" i="21"/>
  <c r="N98" i="21"/>
  <c r="N99" i="21"/>
  <c r="N100" i="21"/>
  <c r="N103" i="21"/>
  <c r="N104" i="21"/>
  <c r="N107" i="21"/>
  <c r="N108" i="21"/>
  <c r="N110" i="21"/>
  <c r="N111" i="21"/>
  <c r="N112" i="21"/>
  <c r="N113" i="21"/>
  <c r="N115" i="21"/>
  <c r="N117" i="21"/>
  <c r="N118" i="21"/>
  <c r="N119" i="21"/>
  <c r="N120" i="21"/>
  <c r="N121" i="21"/>
  <c r="R2" i="21"/>
  <c r="R3" i="21"/>
  <c r="BH33" i="34"/>
  <c r="BI33" i="34"/>
  <c r="BH34" i="34"/>
  <c r="BI34" i="34"/>
  <c r="BH35" i="34"/>
  <c r="BI35" i="34"/>
  <c r="BI32" i="34"/>
  <c r="BH32" i="34"/>
  <c r="BB29" i="34"/>
  <c r="BC29" i="34"/>
  <c r="BB30" i="34"/>
  <c r="BC30" i="34"/>
  <c r="BB20" i="34"/>
  <c r="BC20" i="34"/>
  <c r="BB21" i="34"/>
  <c r="BC21" i="34"/>
  <c r="BB22" i="34"/>
  <c r="BC22" i="34"/>
  <c r="BB23" i="34"/>
  <c r="BC23" i="34"/>
  <c r="BB24" i="34"/>
  <c r="BC24" i="34"/>
  <c r="BB25" i="34"/>
  <c r="BC25" i="34"/>
  <c r="BB26" i="34"/>
  <c r="BC26" i="34"/>
  <c r="BB27" i="34"/>
  <c r="BC27" i="34"/>
  <c r="BB28" i="34"/>
  <c r="BC28" i="34"/>
  <c r="BC19" i="34"/>
  <c r="BB19" i="34"/>
  <c r="A10" i="34"/>
  <c r="AW20" i="34" l="1"/>
  <c r="AX20" i="34"/>
  <c r="AW21" i="34"/>
  <c r="AX21" i="34"/>
  <c r="AX19" i="34"/>
  <c r="AW19" i="34"/>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114" i="21"/>
  <c r="B115" i="21"/>
  <c r="B116" i="21"/>
  <c r="B117" i="21"/>
  <c r="B118" i="21"/>
  <c r="B119" i="21"/>
  <c r="B120" i="21"/>
  <c r="B121" i="21"/>
  <c r="B122" i="21"/>
  <c r="AN19" i="34"/>
  <c r="AM19" i="34"/>
  <c r="AM18" i="34"/>
  <c r="AM17" i="34"/>
  <c r="Q15" i="34"/>
  <c r="R15" i="34"/>
  <c r="Q16" i="34"/>
  <c r="R16" i="34"/>
  <c r="Q17" i="34"/>
  <c r="R17" i="34"/>
  <c r="Q18" i="34"/>
  <c r="R18" i="34"/>
  <c r="Q19" i="34"/>
  <c r="R19" i="34"/>
  <c r="Q20" i="34"/>
  <c r="R20" i="34"/>
  <c r="R14" i="34"/>
  <c r="Q14" i="34"/>
  <c r="AN18" i="34"/>
  <c r="AN17" i="34"/>
  <c r="S2" i="21" l="1"/>
  <c r="S3" i="21"/>
  <c r="S4" i="21"/>
  <c r="S5" i="21"/>
  <c r="S6" i="21"/>
  <c r="S7" i="21"/>
  <c r="S8" i="21"/>
  <c r="S9" i="21"/>
  <c r="S10" i="21"/>
  <c r="S11" i="21"/>
  <c r="S12" i="21"/>
  <c r="S13" i="21"/>
  <c r="S14" i="21"/>
  <c r="S15" i="21"/>
  <c r="S16" i="21"/>
  <c r="S17" i="21"/>
  <c r="S18" i="21"/>
  <c r="S19" i="21"/>
  <c r="S20" i="21"/>
  <c r="S21" i="21"/>
  <c r="S22" i="21"/>
  <c r="S23" i="21"/>
  <c r="S24" i="21"/>
  <c r="S25" i="21"/>
  <c r="S26" i="21"/>
  <c r="S27" i="21"/>
  <c r="S28" i="21"/>
  <c r="S29" i="21"/>
  <c r="S30" i="21"/>
  <c r="S31" i="21"/>
  <c r="S32" i="21"/>
  <c r="S33" i="21"/>
  <c r="S34" i="21"/>
  <c r="S35" i="21"/>
  <c r="S36" i="21"/>
  <c r="S37" i="21"/>
  <c r="S38" i="21"/>
  <c r="S39" i="21"/>
  <c r="S40" i="21"/>
  <c r="S41" i="21"/>
  <c r="S42" i="21"/>
  <c r="S43" i="21"/>
  <c r="S44" i="21"/>
  <c r="S45" i="21"/>
  <c r="S46" i="21"/>
  <c r="S47" i="21"/>
  <c r="S48" i="21"/>
  <c r="S49" i="21"/>
  <c r="S50" i="21"/>
  <c r="S51" i="21"/>
  <c r="S52" i="21"/>
  <c r="S53" i="21"/>
  <c r="S54" i="21"/>
  <c r="S55" i="21"/>
  <c r="S56" i="21"/>
  <c r="S57" i="21"/>
  <c r="S58" i="21"/>
  <c r="S59" i="21"/>
  <c r="S60" i="21"/>
  <c r="S61" i="21"/>
  <c r="S62" i="21"/>
  <c r="S63" i="21"/>
  <c r="S64" i="21"/>
  <c r="S65" i="21"/>
  <c r="S66" i="21"/>
  <c r="S67" i="21"/>
  <c r="S68" i="21"/>
  <c r="S69" i="21"/>
  <c r="S70" i="21"/>
  <c r="S71" i="21"/>
  <c r="S72" i="21"/>
  <c r="S73" i="21"/>
  <c r="S74" i="21"/>
  <c r="S75" i="21"/>
  <c r="S76" i="21"/>
  <c r="S77" i="21"/>
  <c r="S78" i="21"/>
  <c r="S79" i="21"/>
  <c r="S80" i="21"/>
  <c r="S81" i="21"/>
  <c r="S82" i="21"/>
  <c r="S83" i="21"/>
  <c r="S84" i="21"/>
  <c r="S85" i="21"/>
  <c r="S86" i="21"/>
  <c r="S87" i="21"/>
  <c r="S88" i="21"/>
  <c r="S89" i="21"/>
  <c r="S90" i="21"/>
  <c r="S91" i="21"/>
  <c r="S92" i="21"/>
  <c r="S93" i="21"/>
  <c r="S94" i="21"/>
  <c r="S95" i="21"/>
  <c r="S96" i="21"/>
  <c r="S97" i="21"/>
  <c r="S98" i="21"/>
  <c r="S99" i="21"/>
  <c r="S100" i="21"/>
  <c r="S101" i="21"/>
  <c r="S102" i="21"/>
  <c r="S103" i="21"/>
  <c r="S104" i="21"/>
  <c r="S105" i="21"/>
  <c r="S106" i="21"/>
  <c r="S107" i="21"/>
  <c r="S108" i="21"/>
  <c r="S109" i="21"/>
  <c r="S110" i="21"/>
  <c r="S111" i="21"/>
  <c r="S112" i="21"/>
  <c r="S113" i="21"/>
  <c r="S114" i="21"/>
  <c r="S115" i="21"/>
  <c r="S116" i="21"/>
  <c r="S117" i="21"/>
  <c r="S118" i="21"/>
  <c r="S119" i="21"/>
  <c r="S120" i="21"/>
  <c r="S121" i="21"/>
  <c r="S122" i="21"/>
  <c r="R122" i="21"/>
  <c r="D122" i="21"/>
  <c r="C122" i="21"/>
  <c r="R121" i="21"/>
  <c r="D121" i="21"/>
  <c r="C121" i="21"/>
  <c r="R120" i="21"/>
  <c r="D120" i="21"/>
  <c r="C120" i="21"/>
  <c r="R119" i="21"/>
  <c r="D119" i="21"/>
  <c r="C119" i="21"/>
  <c r="R118" i="21"/>
  <c r="D118" i="21"/>
  <c r="C118" i="21"/>
  <c r="R117" i="21"/>
  <c r="D117" i="21"/>
  <c r="C117" i="21"/>
  <c r="R116" i="21"/>
  <c r="D116" i="21"/>
  <c r="C116" i="21"/>
  <c r="R115" i="21"/>
  <c r="D115" i="21"/>
  <c r="C115" i="21"/>
  <c r="R114" i="21"/>
  <c r="D114" i="21"/>
  <c r="C114" i="21"/>
  <c r="R113" i="21"/>
  <c r="D113" i="21"/>
  <c r="C113" i="21"/>
  <c r="R112" i="21"/>
  <c r="D112" i="21"/>
  <c r="C112" i="21"/>
  <c r="R111" i="21"/>
  <c r="D111" i="21"/>
  <c r="C111" i="21"/>
  <c r="R110" i="21"/>
  <c r="D110" i="21"/>
  <c r="C110" i="21"/>
  <c r="R109" i="21"/>
  <c r="D109" i="21"/>
  <c r="C109" i="21"/>
  <c r="R108" i="21"/>
  <c r="D108" i="21"/>
  <c r="C108" i="21"/>
  <c r="R107" i="21"/>
  <c r="D107" i="21"/>
  <c r="C107" i="21"/>
  <c r="R106" i="21"/>
  <c r="D106" i="21"/>
  <c r="C106" i="21"/>
  <c r="R105" i="21"/>
  <c r="D105" i="21"/>
  <c r="C105" i="21"/>
  <c r="R104" i="21"/>
  <c r="D104" i="21"/>
  <c r="C104" i="21"/>
  <c r="R103" i="21"/>
  <c r="D103" i="21"/>
  <c r="C103" i="21"/>
  <c r="R102" i="21"/>
  <c r="D102" i="21"/>
  <c r="C102" i="21"/>
  <c r="R101" i="21"/>
  <c r="D101" i="21"/>
  <c r="C101" i="21"/>
  <c r="R100" i="21"/>
  <c r="D100" i="21"/>
  <c r="C100" i="21"/>
  <c r="R99" i="21"/>
  <c r="D99" i="21"/>
  <c r="C99" i="21"/>
  <c r="R98" i="21"/>
  <c r="D98" i="21"/>
  <c r="C98" i="21"/>
  <c r="R97" i="21"/>
  <c r="D97" i="21"/>
  <c r="C97" i="21"/>
  <c r="R96" i="21"/>
  <c r="D96" i="21"/>
  <c r="C96" i="21"/>
  <c r="R95" i="21"/>
  <c r="D95" i="21"/>
  <c r="C95" i="21"/>
  <c r="R94" i="21"/>
  <c r="D94" i="21"/>
  <c r="C94" i="21"/>
  <c r="R93" i="21"/>
  <c r="D93" i="21"/>
  <c r="C93" i="21"/>
  <c r="R92" i="21"/>
  <c r="D92" i="21"/>
  <c r="C92" i="21"/>
  <c r="R91" i="21"/>
  <c r="D91" i="21"/>
  <c r="C91" i="21"/>
  <c r="R90" i="21"/>
  <c r="D90" i="21"/>
  <c r="C90" i="21"/>
  <c r="R89" i="21"/>
  <c r="D89" i="21"/>
  <c r="C89" i="21"/>
  <c r="R88" i="21"/>
  <c r="D88" i="21"/>
  <c r="C88" i="21"/>
  <c r="R87" i="21"/>
  <c r="D87" i="21"/>
  <c r="C87" i="21"/>
  <c r="R86" i="21"/>
  <c r="D86" i="21"/>
  <c r="C86" i="21"/>
  <c r="R85" i="21"/>
  <c r="D85" i="21"/>
  <c r="C85" i="21"/>
  <c r="R84" i="21"/>
  <c r="D84" i="21"/>
  <c r="C84" i="21"/>
  <c r="R83" i="21"/>
  <c r="D83" i="21"/>
  <c r="C83" i="21"/>
  <c r="R82" i="21"/>
  <c r="D82" i="21"/>
  <c r="C82" i="21"/>
  <c r="R81" i="21"/>
  <c r="D81" i="21"/>
  <c r="C81" i="21"/>
  <c r="R80" i="21"/>
  <c r="D80" i="21"/>
  <c r="C80" i="21"/>
  <c r="R79" i="21"/>
  <c r="D79" i="21"/>
  <c r="C79" i="21"/>
  <c r="R78" i="21"/>
  <c r="D78" i="21"/>
  <c r="C78" i="21"/>
  <c r="R77" i="21"/>
  <c r="D77" i="21"/>
  <c r="C77" i="21"/>
  <c r="R76" i="21"/>
  <c r="D76" i="21"/>
  <c r="C76" i="21"/>
  <c r="R75" i="21"/>
  <c r="D75" i="21"/>
  <c r="C75" i="21"/>
  <c r="R74" i="21"/>
  <c r="D74" i="21"/>
  <c r="C74" i="21"/>
  <c r="R73" i="21"/>
  <c r="D73" i="21"/>
  <c r="C73" i="21"/>
  <c r="R72" i="21"/>
  <c r="D72" i="21"/>
  <c r="C72" i="21"/>
  <c r="R71" i="21"/>
  <c r="D71" i="21"/>
  <c r="C71" i="21"/>
  <c r="R70" i="21"/>
  <c r="D70" i="21"/>
  <c r="C70" i="21"/>
  <c r="R69" i="21"/>
  <c r="D69" i="21"/>
  <c r="C69" i="21"/>
  <c r="R68" i="21"/>
  <c r="D68" i="21"/>
  <c r="C68" i="21"/>
  <c r="R67" i="21"/>
  <c r="D67" i="21"/>
  <c r="C67" i="21"/>
  <c r="R66" i="21"/>
  <c r="D66" i="21"/>
  <c r="C66" i="21"/>
  <c r="R65" i="21"/>
  <c r="D65" i="21"/>
  <c r="C65" i="21"/>
  <c r="R64" i="21"/>
  <c r="D64" i="21"/>
  <c r="C64" i="21"/>
  <c r="R63" i="21"/>
  <c r="D63" i="21"/>
  <c r="C63" i="21"/>
  <c r="R62" i="21"/>
  <c r="D62" i="21"/>
  <c r="C62" i="21"/>
  <c r="R61" i="21"/>
  <c r="D61" i="21"/>
  <c r="C61" i="21"/>
  <c r="R60" i="21"/>
  <c r="D60" i="21"/>
  <c r="C60" i="21"/>
  <c r="R59" i="21"/>
  <c r="D59" i="21"/>
  <c r="C59" i="21"/>
  <c r="R58" i="21"/>
  <c r="D58" i="21"/>
  <c r="C58" i="21"/>
  <c r="R57" i="21"/>
  <c r="D57" i="21"/>
  <c r="C57" i="21"/>
  <c r="R56" i="21"/>
  <c r="D56" i="21"/>
  <c r="C56" i="21"/>
  <c r="R55" i="21"/>
  <c r="D55" i="21"/>
  <c r="C55" i="21"/>
  <c r="R54" i="21"/>
  <c r="D54" i="21"/>
  <c r="C54" i="21"/>
  <c r="R53" i="21"/>
  <c r="D53" i="21"/>
  <c r="C53" i="21"/>
  <c r="R52" i="21"/>
  <c r="D52" i="21"/>
  <c r="C52" i="21"/>
  <c r="R51" i="21"/>
  <c r="D51" i="21"/>
  <c r="C51" i="21"/>
  <c r="R50" i="21"/>
  <c r="D50" i="21"/>
  <c r="C50" i="21"/>
  <c r="R49" i="21"/>
  <c r="D49" i="21"/>
  <c r="C49" i="21"/>
  <c r="R48" i="21"/>
  <c r="D48" i="21"/>
  <c r="C48" i="21"/>
  <c r="R47" i="21"/>
  <c r="D47" i="21"/>
  <c r="C47" i="21"/>
  <c r="R46" i="21"/>
  <c r="D46" i="21"/>
  <c r="C46" i="21"/>
  <c r="R45" i="21"/>
  <c r="D45" i="21"/>
  <c r="C45" i="21"/>
  <c r="R44" i="21"/>
  <c r="D44" i="21"/>
  <c r="C44" i="21"/>
  <c r="R43" i="21"/>
  <c r="D43" i="21"/>
  <c r="C43" i="21"/>
  <c r="R42" i="21"/>
  <c r="D42" i="21"/>
  <c r="C42" i="21"/>
  <c r="R41" i="21"/>
  <c r="D41" i="21"/>
  <c r="C41" i="21"/>
  <c r="R40" i="21"/>
  <c r="D40" i="21"/>
  <c r="C40" i="21"/>
  <c r="R39" i="21"/>
  <c r="D39" i="21"/>
  <c r="C39" i="21"/>
  <c r="R38" i="21"/>
  <c r="D38" i="21"/>
  <c r="C38" i="21"/>
  <c r="R37" i="21"/>
  <c r="D37" i="21"/>
  <c r="C37" i="21"/>
  <c r="R36" i="21"/>
  <c r="D36" i="21"/>
  <c r="C36" i="21"/>
  <c r="R35" i="21"/>
  <c r="D35" i="21"/>
  <c r="C35" i="21"/>
  <c r="R34" i="21"/>
  <c r="D34" i="21"/>
  <c r="C34" i="21"/>
  <c r="R33" i="21"/>
  <c r="D33" i="21"/>
  <c r="C33" i="21"/>
  <c r="R32" i="21"/>
  <c r="D32" i="21"/>
  <c r="C32" i="21"/>
  <c r="R31" i="21"/>
  <c r="D31" i="21"/>
  <c r="C31" i="21"/>
  <c r="R30" i="21"/>
  <c r="D30" i="21"/>
  <c r="C30" i="21"/>
  <c r="R29" i="21"/>
  <c r="D29" i="21"/>
  <c r="C29" i="21"/>
  <c r="R28" i="21"/>
  <c r="D28" i="21"/>
  <c r="C28" i="21"/>
  <c r="R27" i="21"/>
  <c r="D27" i="21"/>
  <c r="C27" i="21"/>
  <c r="R26" i="21"/>
  <c r="D26" i="21"/>
  <c r="C26" i="21"/>
  <c r="R25" i="21"/>
  <c r="D25" i="21"/>
  <c r="C25" i="21"/>
  <c r="R24" i="21"/>
  <c r="D24" i="21"/>
  <c r="C24" i="21"/>
  <c r="R23" i="21"/>
  <c r="D23" i="21"/>
  <c r="C23" i="21"/>
  <c r="R22" i="21"/>
  <c r="D22" i="21"/>
  <c r="C22" i="21"/>
  <c r="R21" i="21"/>
  <c r="D21" i="21"/>
  <c r="C21" i="21"/>
  <c r="R20" i="21"/>
  <c r="D20" i="21"/>
  <c r="C20" i="21"/>
  <c r="R19" i="21"/>
  <c r="D19" i="21"/>
  <c r="C19" i="21"/>
  <c r="R18" i="21"/>
  <c r="D18" i="21"/>
  <c r="C18" i="21"/>
  <c r="R17" i="21"/>
  <c r="D17" i="21"/>
  <c r="C17" i="21"/>
  <c r="R16" i="21"/>
  <c r="D16" i="21"/>
  <c r="C16" i="21"/>
  <c r="R15" i="21"/>
  <c r="D15" i="21"/>
  <c r="C15" i="21"/>
  <c r="R14" i="21"/>
  <c r="D14" i="21"/>
  <c r="C14" i="21"/>
  <c r="R13" i="21"/>
  <c r="D13" i="21"/>
  <c r="C13" i="21"/>
  <c r="R12" i="21"/>
  <c r="D12" i="21"/>
  <c r="C12" i="21"/>
  <c r="R11" i="21"/>
  <c r="D11" i="21"/>
  <c r="C11" i="21"/>
  <c r="R10" i="21"/>
  <c r="D10" i="21"/>
  <c r="C10" i="21"/>
  <c r="R9" i="21"/>
  <c r="D9" i="21"/>
  <c r="C9" i="21"/>
  <c r="R8" i="21"/>
  <c r="D8" i="21"/>
  <c r="C8" i="21"/>
  <c r="R7" i="21"/>
  <c r="D7" i="21"/>
  <c r="C7" i="21"/>
  <c r="R6" i="21"/>
  <c r="D6" i="21"/>
  <c r="C6" i="21"/>
  <c r="R5" i="21"/>
  <c r="D5" i="21"/>
  <c r="C5" i="21"/>
  <c r="R4" i="21"/>
  <c r="D4" i="21"/>
  <c r="C4" i="21"/>
  <c r="D3" i="21"/>
  <c r="C3" i="21"/>
  <c r="D2" i="21"/>
  <c r="C2" i="21"/>
  <c r="C10" i="34"/>
  <c r="F10" i="34"/>
  <c r="L10" i="3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6692C3-9711-4E77-A89E-EB89EEE63D24}" keepAlive="1" name="Query - bb_2" description="Connection to the 'bb_2' query in the workbook." type="5" refreshedVersion="0" background="1">
    <dbPr connection="Provider=Microsoft.Mashup.OleDb.1;Data Source=$Workbook$;Location=bb_2;Extended Properties=&quot;&quot;" command="SELECT * FROM [bb_2]"/>
  </connection>
  <connection id="2" xr16:uid="{269E33A8-F3FE-4864-BF81-A1E6E657976F}" keepAlive="1" name="Query - bb_2 (2)" description="Connection to the 'bb_2 (2)' query in the workbook." type="5" refreshedVersion="0" background="1">
    <dbPr connection="Provider=Microsoft.Mashup.OleDb.1;Data Source=$Workbook$;Location=&quot;bb_2 (2)&quot;;Extended Properties=&quot;&quot;" command="SELECT * FROM [bb_2 (2)]"/>
  </connection>
  <connection id="3" xr16:uid="{11F34244-9268-4047-83E6-429E2B9ADB6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4" xr16:uid="{F1C67D8E-C078-431C-A24A-A87983C48EFE}"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<sst xmlns="http://schemas.openxmlformats.org/spreadsheetml/2006/main" count="1610" uniqueCount="243">
  <si>
    <t>أسم العميل</t>
  </si>
  <si>
    <t>العنوان</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</si>
  <si>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</si>
  <si>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</si>
  <si>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</si>
  <si>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</si>
  <si>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</si>
  <si>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</si>
  <si>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</si>
  <si>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</si>
  <si>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العجوزه - الجيزه</t>
  </si>
  <si>
    <t>مسبق الدفع</t>
  </si>
  <si>
    <t>محمود</t>
  </si>
  <si>
    <t>سموحه - اسكندريه</t>
  </si>
  <si>
    <t>سعيد</t>
  </si>
  <si>
    <t xml:space="preserve">سيدى عبد الرحمن - الساحل الشمالى </t>
  </si>
  <si>
    <t>ساندرا</t>
  </si>
  <si>
    <t xml:space="preserve">الغردقه </t>
  </si>
  <si>
    <t xml:space="preserve">شيك هومز </t>
  </si>
  <si>
    <t>التجمع الخامس</t>
  </si>
  <si>
    <t>فيس بوك</t>
  </si>
  <si>
    <t xml:space="preserve">فشل التسليم </t>
  </si>
  <si>
    <t>yilmaz</t>
  </si>
  <si>
    <t>مصر الجديده</t>
  </si>
  <si>
    <t>شيك هومز</t>
  </si>
  <si>
    <t xml:space="preserve">التجمع الخامس </t>
  </si>
  <si>
    <t xml:space="preserve">اوسكار ريتن </t>
  </si>
  <si>
    <t>ellho elkafy</t>
  </si>
  <si>
    <t xml:space="preserve">مدينه نصر </t>
  </si>
  <si>
    <t xml:space="preserve">المقطم </t>
  </si>
  <si>
    <t>القاهره الجديده</t>
  </si>
  <si>
    <t>حسن حازم</t>
  </si>
  <si>
    <t xml:space="preserve">القطاميه </t>
  </si>
  <si>
    <t xml:space="preserve">حدايق الاهرام </t>
  </si>
  <si>
    <t>عبير نور الدين</t>
  </si>
  <si>
    <t xml:space="preserve">١٨ شارع البحيري بولاق الدكرور الجيزه </t>
  </si>
  <si>
    <t>اوسكار راتن</t>
  </si>
  <si>
    <t xml:space="preserve">مخزن اوسكار في القناطر </t>
  </si>
  <si>
    <t>حساب شركه</t>
  </si>
  <si>
    <t xml:space="preserve">لافيستا العين السخنه </t>
  </si>
  <si>
    <t>وائل صادق</t>
  </si>
  <si>
    <t xml:space="preserve">القاهره الجديده </t>
  </si>
  <si>
    <t>صفاء</t>
  </si>
  <si>
    <t>المعادى</t>
  </si>
  <si>
    <t xml:space="preserve">اسيوط </t>
  </si>
  <si>
    <t>حسام عبدون</t>
  </si>
  <si>
    <t>الغردقه</t>
  </si>
  <si>
    <t>ميار خورشد</t>
  </si>
  <si>
    <t xml:space="preserve">الشيخ زايد ٦ اكتوبر </t>
  </si>
  <si>
    <t>الرحاب</t>
  </si>
  <si>
    <t>ساره</t>
  </si>
  <si>
    <t>رحاب</t>
  </si>
  <si>
    <t>العبور</t>
  </si>
  <si>
    <t>فيصل الجيزه</t>
  </si>
  <si>
    <t>صفاء الحكيم</t>
  </si>
  <si>
    <t>العين السخنه</t>
  </si>
  <si>
    <t>يوسف شناوى</t>
  </si>
  <si>
    <t xml:space="preserve">الابراهيميه . الإسكندرية </t>
  </si>
  <si>
    <t>سرير</t>
  </si>
  <si>
    <t>منطبق</t>
  </si>
  <si>
    <t>نوفال</t>
  </si>
  <si>
    <t>فردى</t>
  </si>
  <si>
    <t>كينج</t>
  </si>
  <si>
    <t>كيفنج</t>
  </si>
  <si>
    <t>اسبانى</t>
  </si>
  <si>
    <t>ركنة</t>
  </si>
  <si>
    <t>سحارة</t>
  </si>
  <si>
    <t>ركنة بسرير</t>
  </si>
  <si>
    <t>كرسى</t>
  </si>
  <si>
    <t xml:space="preserve">كنبة </t>
  </si>
  <si>
    <t>ارفيل</t>
  </si>
  <si>
    <t>ازرق</t>
  </si>
  <si>
    <t>ثلاثه ادوار</t>
  </si>
  <si>
    <t>رمادى</t>
  </si>
  <si>
    <t>بنفسجى</t>
  </si>
  <si>
    <t>الاسم</t>
  </si>
  <si>
    <t>المقاس</t>
  </si>
  <si>
    <t>دهبي</t>
  </si>
  <si>
    <t>فورجينا</t>
  </si>
  <si>
    <t>كورين</t>
  </si>
  <si>
    <t>mohannad</t>
  </si>
  <si>
    <t>Mohamed Ayman</t>
  </si>
  <si>
    <t>Madinet Badr</t>
  </si>
  <si>
    <t>2 ميكانزم</t>
  </si>
  <si>
    <t>بمكتبة</t>
  </si>
  <si>
    <t>رف سحاب</t>
  </si>
  <si>
    <t>فشل التسليم</t>
  </si>
  <si>
    <t>اسامه</t>
  </si>
  <si>
    <t>تم التسليم</t>
  </si>
  <si>
    <t xml:space="preserve">المخزن ابو الغيط </t>
  </si>
  <si>
    <t>ولاء بدوى</t>
  </si>
  <si>
    <t>عبد الرحمن يسري</t>
  </si>
  <si>
    <t>4×1</t>
  </si>
  <si>
    <t>مرتجع</t>
  </si>
  <si>
    <t>الحج محمد السويس</t>
  </si>
  <si>
    <t xml:space="preserve">السويس </t>
  </si>
  <si>
    <t>السويس</t>
  </si>
  <si>
    <t>فانتاستك</t>
  </si>
  <si>
    <t>ملون</t>
  </si>
  <si>
    <t>فنيسيا</t>
  </si>
  <si>
    <t>شيزلونج</t>
  </si>
  <si>
    <t xml:space="preserve">نبيتى </t>
  </si>
  <si>
    <t>عمرو الأسود</t>
  </si>
  <si>
    <t>الزمالك</t>
  </si>
  <si>
    <t>مخزن شيك هومز</t>
  </si>
  <si>
    <t>keira</t>
  </si>
  <si>
    <t xml:space="preserve">نوفال </t>
  </si>
  <si>
    <t>بينك</t>
  </si>
  <si>
    <t>tarek</t>
  </si>
  <si>
    <t>reem</t>
  </si>
  <si>
    <t>البطاش اسكندريه</t>
  </si>
  <si>
    <t>هشام سامى</t>
  </si>
  <si>
    <t>41 كومبوند جولدن جستس الدور 4 شقه 4</t>
  </si>
  <si>
    <t xml:space="preserve">منزلى </t>
  </si>
  <si>
    <t>بلحه</t>
  </si>
  <si>
    <t>فانتستيك</t>
  </si>
  <si>
    <t>الوان</t>
  </si>
  <si>
    <t>فاطمه محمد</t>
  </si>
  <si>
    <t>بولا هومزمارت</t>
  </si>
  <si>
    <t>ارينا</t>
  </si>
  <si>
    <t>منزلى</t>
  </si>
  <si>
    <t>مدينتى</t>
  </si>
  <si>
    <t>حماده</t>
  </si>
  <si>
    <t>صفاء عبد الباقي</t>
  </si>
  <si>
    <t xml:space="preserve">كينج </t>
  </si>
  <si>
    <t xml:space="preserve">سرير </t>
  </si>
  <si>
    <t xml:space="preserve">كيمت </t>
  </si>
  <si>
    <t xml:space="preserve">كيفنج </t>
  </si>
  <si>
    <t xml:space="preserve">فردى </t>
  </si>
  <si>
    <t>محمد حمدى</t>
  </si>
  <si>
    <t xml:space="preserve">كوين </t>
  </si>
  <si>
    <t xml:space="preserve">شبرا </t>
  </si>
  <si>
    <t xml:space="preserve">اسبانى </t>
  </si>
  <si>
    <t>t1</t>
  </si>
  <si>
    <t>رنا ميلاد</t>
  </si>
  <si>
    <t xml:space="preserve">جليم الإسكندرية </t>
  </si>
  <si>
    <t>ترابيزه</t>
  </si>
  <si>
    <t>مكتبه</t>
  </si>
  <si>
    <t>محمد ناجى</t>
  </si>
  <si>
    <t xml:space="preserve">دوران </t>
  </si>
  <si>
    <t>ميكانزم</t>
  </si>
  <si>
    <t>احمد عبد الستار</t>
  </si>
  <si>
    <t>المندره اسكندريه</t>
  </si>
  <si>
    <t>مريم عنان</t>
  </si>
  <si>
    <t xml:space="preserve">اب تاون كايرو التجمع </t>
  </si>
  <si>
    <t>دوران</t>
  </si>
  <si>
    <t>حمدى ذكرى</t>
  </si>
  <si>
    <t>نوع المنتج</t>
  </si>
  <si>
    <t>تفاصيل المنتج</t>
  </si>
  <si>
    <t>100/140</t>
  </si>
  <si>
    <t>لاغي</t>
  </si>
  <si>
    <t>Row Labels</t>
  </si>
  <si>
    <t>Grand Total</t>
  </si>
  <si>
    <t>الحاله</t>
  </si>
  <si>
    <t>الوان المعدن</t>
  </si>
  <si>
    <t>أبيض</t>
  </si>
  <si>
    <t>أسود</t>
  </si>
  <si>
    <t>أسود وبنى</t>
  </si>
  <si>
    <t xml:space="preserve">أسود </t>
  </si>
  <si>
    <t xml:space="preserve">٦ اكتوبر الجيزه  </t>
  </si>
  <si>
    <t xml:space="preserve">الشروق </t>
  </si>
  <si>
    <t>المحافظة</t>
  </si>
  <si>
    <t>الجيزة</t>
  </si>
  <si>
    <t>الإسكندرية</t>
  </si>
  <si>
    <t>مطروح</t>
  </si>
  <si>
    <t>البحر الأحمر</t>
  </si>
  <si>
    <t>القاهرة</t>
  </si>
  <si>
    <t>العباسية</t>
  </si>
  <si>
    <t>القليوبية</t>
  </si>
  <si>
    <t xml:space="preserve">العباسية </t>
  </si>
  <si>
    <t xml:space="preserve">لاغي </t>
  </si>
  <si>
    <t xml:space="preserve">نوع العميل </t>
  </si>
  <si>
    <t xml:space="preserve">تاكي </t>
  </si>
  <si>
    <t>تاكي</t>
  </si>
  <si>
    <t>خالد عبد القوى</t>
  </si>
  <si>
    <t>زينا</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</si>
  <si>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</si>
  <si>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</si>
  <si>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</si>
  <si>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</si>
  <si>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</si>
  <si>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</si>
  <si>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</si>
  <si>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</si>
  <si>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</si>
  <si>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</si>
  <si>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</si>
  <si>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</si>
  <si>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</si>
  <si>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</si>
  <si>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</si>
  <si>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</si>
  <si>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</si>
  <si>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</si>
  <si>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</si>
  <si>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</si>
  <si>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</si>
  <si>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</si>
  <si>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</si>
  <si>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</si>
  <si>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</si>
  <si>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</si>
  <si>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</si>
  <si>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</si>
  <si>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</si>
  <si>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</si>
  <si>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</si>
  <si>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 xml:space="preserve">أيام التسليم المتفق عليه </t>
  </si>
  <si>
    <t xml:space="preserve">أيام التسليم الفعلي </t>
  </si>
  <si>
    <t xml:space="preserve">المحافظة </t>
  </si>
  <si>
    <t xml:space="preserve">طريقة الدفع </t>
  </si>
  <si>
    <t>Count of الحاله</t>
  </si>
  <si>
    <t xml:space="preserve"> الحج سيد </t>
  </si>
  <si>
    <t xml:space="preserve"> شركه شحن</t>
  </si>
  <si>
    <t>محمد</t>
  </si>
  <si>
    <t xml:space="preserve">محمود على </t>
  </si>
  <si>
    <t xml:space="preserve"> total sales </t>
  </si>
  <si>
    <t xml:space="preserve">Sum of سعر البيع </t>
  </si>
  <si>
    <t>total order</t>
  </si>
  <si>
    <t>Count of نوع المنتج</t>
  </si>
  <si>
    <t xml:space="preserve">Avarage Saleing </t>
  </si>
  <si>
    <t xml:space="preserve">Average of سعر البيع </t>
  </si>
  <si>
    <t>BEST SEALS</t>
  </si>
  <si>
    <t>Delevary Rate</t>
  </si>
  <si>
    <t>(All)</t>
  </si>
  <si>
    <t>Delivery status Breakdown</t>
  </si>
  <si>
    <t xml:space="preserve">Average of أيام التسليم الفعلي </t>
  </si>
  <si>
    <t xml:space="preserve">Average of أيام التسليم المتفق عليه </t>
  </si>
  <si>
    <t>أغسطس</t>
  </si>
  <si>
    <t>سبتمبر</t>
  </si>
  <si>
    <t>أكتوبر</t>
  </si>
  <si>
    <t>نوفمبر</t>
  </si>
  <si>
    <t>يوليو</t>
  </si>
  <si>
    <t xml:space="preserve">daate by sales  </t>
  </si>
  <si>
    <t>top 3 area</t>
  </si>
  <si>
    <t xml:space="preserve">VIP </t>
  </si>
  <si>
    <t xml:space="preserve">platform  </t>
  </si>
  <si>
    <t>(blank)</t>
  </si>
  <si>
    <t>ديسمبر</t>
  </si>
  <si>
    <t xml:space="preserve">شركة </t>
  </si>
  <si>
    <t>Best Customer</t>
  </si>
  <si>
    <t>غير معروف</t>
  </si>
  <si>
    <t xml:space="preserve">الوضع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</si>
</sst>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
    <numFmt numFmtId="166" formatCode="0.0"/>
  </numFmts>
  <fonts count="10">
    <font>
      <sz val="11"/>
      <color theme="1"/>
      <name val="Arial"/>
      <family val="2"/>
      <scheme val="minor"/>
    </font>
    <font>
      <sz val="11"/>
      <name val="Arial"/>
      <family val="2"/>
      <scheme val="minor"/>
    </font>
    <font>
      <b/>
      <i/>
      <sz val="18"/>
      <color theme="0"/>
      <name val="Britannic Bold"/>
      <family val="2"/>
    </font>
    <font>
      <i/>
      <sz val="18"/>
      <color theme="0"/>
      <name val="Britannic Bold"/>
      <family val="2"/>
    </font>
    <font>
      <i/>
      <sz val="16"/>
      <name val="Kulm park"/>
      <charset val="178"/>
    </font>
    <font>
      <b/>
      <i/>
      <sz val="16"/>
      <name val="Kulm park"/>
      <charset val="178"/>
    </font>
    <font>
      <sz val="11"/>
      <color theme="1"/>
      <name val="Arial"/>
      <family val="2"/>
      <scheme val="minor"/>
    </font>
    <font>
      <b/>
      <sz val="11"/>
      <color theme="1"/>
      <name val="Arial"/>
      <family val="2"/>
      <scheme val="minor"/>
    </font>
    <font>
      <b/>
      <sz val="16"/>
      <color theme="1"/>
      <name val="Algerian"/>
      <family val="5"/>
    </font>
    <font>
      <b/>
      <sz val="14"/>
      <color theme="1"/>
      <name val="Akhbar MT"/>
      <charset val="178"/>
    </font>
  </fonts>
  <fills count="9">
    <fill>
      <patternFill patternType="none"/>
    </fill>
    <fill>
      <patternFill patternType="gray125"/>
    </fill>
    <fill>
      <patternFill patternType="solid">
        <fgColor theme="0"/>
        <bgColor indexed="64"/>
      </patternFill>
    </fill>
    <fill>
      <patternFill patternType="solid">
        <fgColor rgb="FFD8D9C7"/>
        <bgColor indexed="64"/>
      </patternFill>
    </fill>
    <fill>
      <patternFill patternType="solid">
        <fgColor theme="1" tint="0.14999847407452621"/>
        <bgColor indexed="64"/>
      </patternFill>
    </fill>
    <fill>
      <patternFill patternType="solid">
        <fgColor rgb="FFD8D9C7"/>
        <bgColor rgb="FF000000"/>
      </patternFill>
    </fill>
    <fill>
      <patternFill patternType="solid">
        <fgColor theme="4" tint="0.79998168889431442"/>
        <bgColor theme="4" tint="0.79998168889431442"/>
      </patternFill>
    </fill>
    <fill>
      <patternFill patternType="solid">
        <fgColor rgb="FF4C000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38">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4" borderId="1" xfId="0" applyFont="1" applyFill="1" applyBorder="1" applyAlignment="1">
      <alignment horizontal="center" vertical="center"/>
    </xf>
    <xf numFmtId="0" fontId="4" fillId="3" borderId="0" xfId="0" applyFont="1" applyFill="1" applyBorder="1" applyAlignment="1">
      <alignment horizontal="center"/>
    </xf>
    <xf numFmtId="14" fontId="4" fillId="3" borderId="1" xfId="0" applyNumberFormat="1" applyFont="1" applyFill="1" applyBorder="1" applyAlignment="1">
      <alignment horizontal="center" vertical="center"/>
    </xf>
    <xf numFmtId="0" fontId="0" fillId="0" borderId="0" xfId="0"/>
    <xf numFmtId="0" fontId="0" fillId="2" borderId="0" xfId="0" applyFill="1"/>
    <xf numFmtId="0" fontId="1" fillId="2" borderId="0" xfId="0" applyFont="1" applyFill="1"/>
    <xf numFmtId="0" fontId="2" fillId="4" borderId="2" xfId="0" applyFont="1" applyFill="1" applyBorder="1" applyAlignment="1">
      <alignment horizontal="center" vertical="center"/>
    </xf>
    <xf numFmtId="0" fontId="2" fillId="4" borderId="2" xfId="0" applyFont="1" applyFill="1" applyBorder="1" applyAlignment="1">
      <alignment horizontal="right" vertical="center"/>
    </xf>
    <xf numFmtId="2" fontId="2" fillId="4" borderId="2" xfId="0" applyNumberFormat="1" applyFont="1" applyFill="1" applyBorder="1" applyAlignment="1">
      <alignment horizontal="center" vertical="center"/>
    </xf>
    <xf numFmtId="14" fontId="2" fillId="4" borderId="2" xfId="0" applyNumberFormat="1" applyFont="1" applyFill="1" applyBorder="1" applyAlignment="1">
      <alignment horizontal="center" vertical="center"/>
    </xf>
    <xf numFmtId="0" fontId="2" fillId="4"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4" fillId="3" borderId="0" xfId="0" applyFont="1" applyFill="1" applyBorder="1" applyAlignment="1">
      <alignment horizontal="center" vertical="center"/>
    </xf>
    <xf numFmtId="0" fontId="5" fillId="3" borderId="0" xfId="0" applyFont="1" applyFill="1" applyBorder="1" applyAlignment="1">
      <alignment horizontal="right" vertical="center"/>
    </xf>
    <xf numFmtId="14" fontId="4" fillId="3" borderId="0" xfId="0" applyNumberFormat="1" applyFont="1" applyFill="1" applyBorder="1" applyAlignment="1">
      <alignment horizontal="center" vertical="center"/>
    </xf>
    <xf numFmtId="0" fontId="4" fillId="3" borderId="0" xfId="0" applyNumberFormat="1" applyFont="1" applyFill="1" applyBorder="1" applyAlignment="1">
      <alignment horizontal="center" vertical="center"/>
    </xf>
    <xf numFmtId="0" fontId="4" fillId="5" borderId="0" xfId="0" applyFont="1" applyFill="1" applyAlignment="1">
      <alignment horizontal="center" vertical="center" readingOrder="2"/>
    </xf>
    <xf numFmtId="164" fontId="0" fillId="0" borderId="0" xfId="1" applyNumberFormat="1" applyFont="1"/>
    <xf numFmtId="164" fontId="9" fillId="0" borderId="0" xfId="1" applyNumberFormat="1" applyFont="1"/>
    <xf numFmtId="0" fontId="0" fillId="7" borderId="0" xfId="0" applyFill="1"/>
    <xf numFmtId="0" fontId="8" fillId="0" borderId="0" xfId="0" applyFont="1" applyAlignment="1">
      <alignment horizontal="center"/>
    </xf>
    <xf numFmtId="164" fontId="0" fillId="0" borderId="0" xfId="0" applyNumberFormat="1"/>
    <xf numFmtId="164" fontId="0" fillId="0" borderId="0" xfId="0" pivotButton="1" applyNumberFormat="1"/>
    <xf numFmtId="164" fontId="0" fillId="0" borderId="0" xfId="0" applyNumberFormat="1" applyAlignment="1">
      <alignment horizontal="left"/>
    </xf>
    <xf numFmtId="10" fontId="0" fillId="0" borderId="0" xfId="0" applyNumberFormat="1"/>
    <xf numFmtId="165" fontId="0" fillId="0" borderId="0" xfId="0" applyNumberFormat="1"/>
    <xf numFmtId="9" fontId="0" fillId="0" borderId="0" xfId="0" applyNumberFormat="1"/>
    <xf numFmtId="9" fontId="0" fillId="0" borderId="0" xfId="2" applyFont="1"/>
    <xf numFmtId="164" fontId="7" fillId="6" borderId="3" xfId="0" applyNumberFormat="1" applyFont="1" applyFill="1" applyBorder="1"/>
    <xf numFmtId="164" fontId="7" fillId="6" borderId="4" xfId="0" applyNumberFormat="1" applyFont="1" applyFill="1" applyBorder="1" applyAlignment="1">
      <alignment horizontal="left"/>
    </xf>
    <xf numFmtId="0" fontId="0" fillId="8" borderId="0" xfId="0" applyFill="1"/>
    <xf numFmtId="22" fontId="0" fillId="0" borderId="0" xfId="0" applyNumberFormat="1"/>
    <xf numFmtId="0" fontId="8" fillId="0" borderId="0" xfId="0" applyFont="1" applyAlignment="1">
      <alignment horizontal="center"/>
    </xf>
    <xf numFmtId="166" fontId="0" fillId="0" borderId="0" xfId="0" applyNumberFormat="1"/>
  </cellXfs>
  <cellStyles count="3">
    <cellStyle name="Comma" xfId="1" builtinId="3"/>
    <cellStyle name="Normal" xfId="0" builtinId="0"/>
    <cellStyle name="Percent" xfId="2" builtinId="5"/>
  </cellStyles>
  <dxfs count="85">
    <dxf>
      <numFmt numFmtId="166" formatCode="0.0"/>
    </dxf>
    <dxf>
      <numFmt numFmtId="14" formatCode="0.00%"/>
    </dxf>
    <dxf>
      <numFmt numFmtId="14" formatCode="0.00%"/>
    </dxf>
    <dxf>
      <numFmt numFmtId="14" formatCode="0.00%"/>
    </dxf>
    <dxf>
      <numFmt numFmtId="13" formatCode="0%"/>
    </dxf>
    <dxf>
      <numFmt numFmtId="164" formatCode="_-* #,##0_-;\-* #,##0_-;_-* &quot;-&quot;??_-;_-@_-"/>
    </dxf>
    <dxf>
      <numFmt numFmtId="14" formatCode="0.00%"/>
    </dxf>
    <dxf>
      <numFmt numFmtId="164" formatCode="_-* #,##0_-;\-* #,##0_-;_-* &quot;-&quot;??_-;_-@_-"/>
    </dxf>
    <dxf>
      <numFmt numFmtId="164" formatCode="_-* #,##0_-;\-* #,##0_-;_-* &quot;-&quot;??_-;_-@_-"/>
    </dxf>
    <dxf>
      <numFmt numFmtId="164" formatCode="_-* #,##0_-;\-* #,##0_-;_-* &quot;-&quot;??_-;_-@_-"/>
    </dxf>
    <dxf>
      <numFmt numFmtId="14" formatCode="0.00%"/>
    </dxf>
    <dxf>
      <numFmt numFmtId="13" formatCode="0%"/>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3" formatCode="0%"/>
    </dxf>
    <dxf>
      <numFmt numFmtId="14" formatCode="0.00%"/>
    </dxf>
    <dxf>
      <numFmt numFmtId="14" formatCode="0.00%"/>
    </dxf>
    <dxf>
      <numFmt numFmtId="14" formatCode="0.00%"/>
    </dxf>
    <dxf>
      <numFmt numFmtId="14" formatCode="0.00%"/>
    </dxf>
    <dxf>
      <numFmt numFmtId="165" formatCode="0.0%"/>
    </dxf>
    <dxf>
      <numFmt numFmtId="14" formatCode="0.00%"/>
    </dxf>
    <dxf>
      <numFmt numFmtId="165" formatCode="0.0%"/>
    </dxf>
    <dxf>
      <numFmt numFmtId="14" formatCode="0.00%"/>
    </dxf>
    <dxf>
      <numFmt numFmtId="14" formatCode="0.00%"/>
    </dxf>
    <dxf>
      <numFmt numFmtId="14" formatCode="0.00%"/>
    </dxf>
    <dxf>
      <numFmt numFmtId="14" formatCode="0.00%"/>
    </dxf>
    <dxf>
      <numFmt numFmtId="13" formatCode="0%"/>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3" formatCode="0%"/>
    </dxf>
    <dxf>
      <numFmt numFmtId="14" formatCode="0.00%"/>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13" formatCode="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numFmt numFmtId="0" formatCode="General"/>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numFmt numFmtId="0" formatCode="General"/>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numFmt numFmtId="19" formatCode="dd/mm/yyyy"/>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numFmt numFmtId="19" formatCode="dd/mm/yyyy"/>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numFmt numFmtId="19" formatCode="dd/mm/yyyy"/>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right"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numFmt numFmtId="0" formatCode="General"/>
      <fill>
        <patternFill patternType="solid">
          <fgColor indexed="64"/>
          <bgColor rgb="FFD8D9C7"/>
        </patternFill>
      </fill>
      <alignment horizontal="center" vertical="center" textRotation="0" wrapText="0" indent="0" justifyLastLine="0" shrinkToFit="0" readingOrder="0"/>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border outline="0">
        <top style="thin">
          <color indexed="64"/>
        </top>
      </border>
    </dxf>
    <dxf>
      <font>
        <b val="0"/>
        <i/>
        <strike val="0"/>
        <condense val="0"/>
        <extend val="0"/>
        <outline val="0"/>
        <shadow val="0"/>
        <u val="none"/>
        <vertAlign val="baseline"/>
        <sz val="16"/>
        <color auto="1"/>
        <name val="Kulm park"/>
        <charset val="178"/>
        <scheme val="none"/>
      </font>
      <fill>
        <patternFill patternType="solid">
          <fgColor indexed="64"/>
          <bgColor rgb="FFD8D9C7"/>
        </patternFill>
      </fill>
      <alignment horizontal="center" vertical="center" textRotation="0" wrapText="0" indent="0" justifyLastLine="0" shrinkToFit="0" readingOrder="0"/>
    </dxf>
    <dxf>
      <border outline="0">
        <bottom style="thin">
          <color indexed="64"/>
        </bottom>
      </border>
    </dxf>
    <dxf>
      <font>
        <b/>
        <i val="0"/>
        <sz val="12"/>
        <color theme="2"/>
        <name val="Times New Roman"/>
        <family val="1"/>
        <scheme val="major"/>
      </font>
    </dxf>
    <dxf>
      <font>
        <b/>
        <i val="0"/>
        <sz val="12"/>
        <color theme="6" tint="-0.499984740745262"/>
        <name val="Eras Demi ITC"/>
        <family val="2"/>
        <scheme val="none"/>
      </font>
      <fill>
        <patternFill>
          <bgColor theme="6" tint="-0.499984740745262"/>
        </patternFill>
      </fill>
    </dxf>
    <dxf>
      <font>
        <b/>
        <i val="0"/>
        <sz val="12"/>
        <color theme="5" tint="-0.24994659260841701"/>
        <name val="Times New Roman"/>
        <family val="1"/>
        <scheme val="major"/>
      </font>
    </dxf>
    <dxf>
      <font>
        <b/>
        <i val="0"/>
        <sz val="12"/>
        <color theme="0"/>
        <name val="Times New Roman"/>
        <family val="1"/>
        <scheme val="major"/>
      </font>
    </dxf>
  </dxfs>
  <tableStyles count="3" defaultTableStyle="TableStyleMedium2" defaultPivotStyle="PivotStyleLight16">
    <tableStyle name="Invisible" pivot="0" table="0" count="0" xr9:uid="{AA73528B-8D85-432A-9172-AA70B5E8C669}"/>
    <tableStyle name="Slicer Style 1" pivot="0" table="0" count="7" xr9:uid="{D14E2D80-EE8A-4497-834C-906F878F8F69}">
      <tableStyleElement type="wholeTable" dxfId="84"/>
      <tableStyleElement type="headerRow" dxfId="83"/>
    </tableStyle>
    <tableStyle name="Slicer Style 6" pivot="0" table="0" count="6" xr9:uid="{CF82BC08-7EC0-46B4-9450-C7EC036ABA4D}">
      <tableStyleElement type="wholeTable" dxfId="82"/>
      <tableStyleElement type="headerRow" dxfId="81"/>
    </tableStyle>
  </tableStyles>
  <colors>
    <mruColors>
      <color rgb="FFE30613"/>
      <color rgb="FFDEA900"/>
      <color rgb="FFEAF2FF"/>
      <color rgb="FF104817"/>
      <color rgb="FFD4AF37"/>
      <color rgb="FFD09E00"/>
      <color rgb="FF4C0000"/>
      <color rgb="FFFF8181"/>
      <color rgb="FF002D62"/>
      <color rgb="FF022213"/>
    </mruColors>
  </colors>
  <extLst>
    <ext xmlns:x14="http://schemas.microsoft.com/office/spreadsheetml/2009/9/main" uri="{46F421CA-312F-682f-3DD2-61675219B42D}">
      <x14:dxfs count="9">
        <dxf>
          <font>
            <b/>
            <i val="0"/>
            <sz val="12"/>
            <color rgb="FFEAF2FF"/>
            <name val="Times New Roman"/>
            <family val="1"/>
            <scheme val="major"/>
          </font>
        </dxf>
        <dxf>
          <font>
            <color rgb="FFEAF2FF"/>
          </font>
          <border>
            <left style="thin">
              <color rgb="FFDEA900"/>
            </left>
          </border>
        </dxf>
        <dxf>
          <font>
            <b/>
            <i val="0"/>
            <sz val="12"/>
            <color theme="6" tint="-0.24994659260841701"/>
            <name val="Times New Roman"/>
            <family val="1"/>
            <scheme val="major"/>
          </font>
        </dxf>
        <dxf>
          <font>
            <b/>
            <i val="0"/>
            <sz val="12"/>
            <color rgb="FFEAF2FF"/>
            <name val="Times New Roman"/>
            <family val="1"/>
            <scheme val="major"/>
          </font>
          <border>
            <left style="thin">
              <color auto="1"/>
            </left>
          </border>
        </dxf>
        <dxf>
          <border>
            <left style="thick">
              <color auto="1"/>
            </left>
          </border>
        </dxf>
        <dxf>
          <font>
            <b/>
            <i val="0"/>
            <sz val="12"/>
            <color theme="0"/>
            <name val="Times New Roman"/>
            <family val="1"/>
            <scheme val="major"/>
          </font>
        </dxf>
        <dxf>
          <font>
            <b/>
            <i val="0"/>
            <sz val="12"/>
            <color auto="1"/>
            <name val="Britannic Bold"/>
            <family val="2"/>
            <scheme val="none"/>
          </font>
          <border>
            <left style="thick">
              <color theme="5" tint="-0.24994659260841701"/>
            </left>
          </border>
        </dxf>
        <dxf>
          <font>
            <color theme="1"/>
          </font>
          <border>
            <left style="thick">
              <color theme="5" tint="-0.24994659260841701"/>
            </left>
          </border>
        </dxf>
        <dxf>
          <font>
            <b/>
            <i val="0"/>
            <sz val="12"/>
          </font>
          <border>
            <left style="thick">
              <color auto="1"/>
            </left>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NoData" dxfId="4"/>
          </x14:slicerStyleElements>
        </x14:slicerStyle>
        <x14:slicerStyle name="Slicer Style 6">
          <x14:slicerStyleElements>
            <x14:slicerStyleElement type="unselectedItemWithData" dxfId="3"/>
            <x14:slicerStyleElement type="selectedItemWithData" dxfId="2"/>
            <x14:slicerStyleElement type="selectedItemWithNo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3.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1.xml"/><Relationship Id="rId10" Type="http://schemas.microsoft.com/office/2007/relationships/slicerCache" Target="slicerCaches/slicerCache2.xml"/><Relationship Id="rId19" Type="http://schemas.microsoft.com/office/2017/06/relationships/rdRichValue" Target="richData/rdrichvalue.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4767-4114-904E-8E105A61BC10}"/>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4767-4114-904E-8E105A61BC10}"/>
              </c:ext>
            </c:extLst>
          </c:dPt>
          <c:dPt>
            <c:idx val="2"/>
            <c:bubble3D val="0"/>
            <c:spPr>
              <a:solidFill>
                <a:schemeClr val="accent2">
                  <a:lumMod val="40000"/>
                  <a:lumOff val="60000"/>
                </a:schemeClr>
              </a:solidFill>
              <a:ln w="19050">
                <a:noFill/>
              </a:ln>
              <a:effectLst/>
            </c:spPr>
            <c:extLst>
              <c:ext xmlns:c16="http://schemas.microsoft.com/office/drawing/2014/chart" uri="{C3380CC4-5D6E-409C-BE32-E72D297353CC}">
                <c16:uniqueId val="{00000005-4767-4114-904E-8E105A61BC10}"/>
              </c:ext>
            </c:extLst>
          </c:dPt>
          <c:cat>
            <c:strRef>
              <c:f>'PIVOT TABLE'!$AM$17:$AM$19</c:f>
              <c:strCache>
                <c:ptCount val="3"/>
                <c:pt idx="0">
                  <c:v>القاهرة</c:v>
                </c:pt>
                <c:pt idx="1">
                  <c:v>الجيزة</c:v>
                </c:pt>
                <c:pt idx="2">
                  <c:v>البحر الأحمر</c:v>
                </c:pt>
              </c:strCache>
            </c:strRef>
          </c:cat>
          <c:val>
            <c:numRef>
              <c:f>'PIVOT TABLE'!$AN$17:$AN$19</c:f>
              <c:numCache>
                <c:formatCode>0%</c:formatCode>
                <c:ptCount val="3"/>
                <c:pt idx="0">
                  <c:v>0.64021556606924646</c:v>
                </c:pt>
                <c:pt idx="1">
                  <c:v>0.17842490180637482</c:v>
                </c:pt>
                <c:pt idx="2">
                  <c:v>5.2889894618591039E-2</c:v>
                </c:pt>
              </c:numCache>
            </c:numRef>
          </c:val>
          <c:extLst>
            <c:ext xmlns:c16="http://schemas.microsoft.com/office/drawing/2014/chart" uri="{C3380CC4-5D6E-409C-BE32-E72D297353CC}">
              <c16:uniqueId val="{00000006-4767-4114-904E-8E105A61BC1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50000"/>
      </a:schemeClr>
    </a:solid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[MISUO - Desouky(1) (Recovered).xlsx]PIVOT TABLE!PivotTable14</c:name>
    <c:fmtId val="3"/>
  </c:pivotSource>
  <c:chart>
    <c:autoTitleDeleted val="1"/>
    <c:pivotFmts>
      <c:pivotFmt>
        <c:idx val="0"/>
        <c:spPr>
          <a:solidFill>
            <a:schemeClr val="accent1"/>
          </a:solidFill>
          <a:ln w="47625" cap="rnd">
            <a:solidFill>
              <a:srgbClr val="EAF2FF"/>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cap="rnd">
            <a:solidFill>
              <a:srgbClr val="EAF2FF"/>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rgbClr val="EAF2FF"/>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TABLE'!$AH$4</c:f>
              <c:strCache>
                <c:ptCount val="1"/>
                <c:pt idx="0">
                  <c:v>Total</c:v>
                </c:pt>
              </c:strCache>
            </c:strRef>
          </c:tx>
          <c:spPr>
            <a:ln w="47625" cap="rnd">
              <a:solidFill>
                <a:srgbClr val="EAF2FF"/>
              </a:solidFill>
              <a:round/>
            </a:ln>
            <a:effectLst>
              <a:outerShdw blurRad="50800" dist="38100" dir="13500000" algn="br" rotWithShape="0">
                <a:prstClr val="black">
                  <a:alpha val="40000"/>
                </a:prstClr>
              </a:outerShdw>
            </a:effectLst>
          </c:spPr>
          <c:marker>
            <c:symbol val="none"/>
          </c:marker>
          <c:cat>
            <c:strRef>
              <c:f>'PIVOT TABLE'!$AG$5:$AG$12</c:f>
              <c:strCache>
                <c:ptCount val="7"/>
                <c:pt idx="0">
                  <c:v>(blank)</c:v>
                </c:pt>
                <c:pt idx="1">
                  <c:v>يوليو</c:v>
                </c:pt>
                <c:pt idx="2">
                  <c:v>أغسطس</c:v>
                </c:pt>
                <c:pt idx="3">
                  <c:v>سبتمبر</c:v>
                </c:pt>
                <c:pt idx="4">
                  <c:v>أكتوبر</c:v>
                </c:pt>
                <c:pt idx="5">
                  <c:v>نوفمبر</c:v>
                </c:pt>
                <c:pt idx="6">
                  <c:v>ديسمبر</c:v>
                </c:pt>
              </c:strCache>
            </c:strRef>
          </c:cat>
          <c:val>
            <c:numRef>
              <c:f>'PIVOT TABLE'!$AH$5:$AH$12</c:f>
              <c:numCache>
                <c:formatCode>0%</c:formatCode>
                <c:ptCount val="7"/>
                <c:pt idx="0">
                  <c:v>1.2912177879969738E-2</c:v>
                </c:pt>
                <c:pt idx="1">
                  <c:v>3.40038062411483E-2</c:v>
                </c:pt>
                <c:pt idx="2">
                  <c:v>7.202816327005869E-2</c:v>
                </c:pt>
                <c:pt idx="3">
                  <c:v>0.5410614107377244</c:v>
                </c:pt>
                <c:pt idx="4">
                  <c:v>0.17716138766015294</c:v>
                </c:pt>
                <c:pt idx="5">
                  <c:v>0.12231383301248333</c:v>
                </c:pt>
                <c:pt idx="6">
                  <c:v>4.0519221198462532E-2</c:v>
                </c:pt>
              </c:numCache>
            </c:numRef>
          </c:val>
          <c:smooth val="1"/>
          <c:extLst>
            <c:ext xmlns:c16="http://schemas.microsoft.com/office/drawing/2014/chart" uri="{C3380CC4-5D6E-409C-BE32-E72D297353CC}">
              <c16:uniqueId val="{00000000-5875-4CFE-98B5-C9CEAB32B3CF}"/>
            </c:ext>
          </c:extLst>
        </c:ser>
        <c:dLbls>
          <c:showLegendKey val="0"/>
          <c:showVal val="0"/>
          <c:showCatName val="0"/>
          <c:showSerName val="0"/>
          <c:showPercent val="0"/>
          <c:showBubbleSize val="0"/>
        </c:dLbls>
        <c:smooth val="0"/>
        <c:axId val="1751885279"/>
        <c:axId val="1751872383"/>
      </c:lineChart>
      <c:catAx>
        <c:axId val="175188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ar-EG"/>
          </a:p>
        </c:txPr>
        <c:crossAx val="1751872383"/>
        <c:crosses val="autoZero"/>
        <c:auto val="1"/>
        <c:lblAlgn val="ctr"/>
        <c:lblOffset val="100"/>
        <c:noMultiLvlLbl val="0"/>
      </c:catAx>
      <c:valAx>
        <c:axId val="1751872383"/>
        <c:scaling>
          <c:orientation val="minMax"/>
        </c:scaling>
        <c:delete val="0"/>
        <c:axPos val="l"/>
        <c:majorGridlines>
          <c:spPr>
            <a:ln w="9525" cap="flat" cmpd="sng" algn="ctr">
              <a:solidFill>
                <a:schemeClr val="accent3">
                  <a:lumMod val="75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bg2"/>
                </a:solidFill>
                <a:latin typeface="+mn-lt"/>
                <a:ea typeface="+mn-ea"/>
                <a:cs typeface="+mn-cs"/>
              </a:defRPr>
            </a:pPr>
            <a:endParaRPr lang="ar-EG"/>
          </a:p>
        </c:txPr>
        <c:crossAx val="175188527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50000"/>
      </a:schemeClr>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[MISUO - Desouky(1) (Recovered).xlsx]PIVOT TABLE!PivotTable13</c:name>
    <c:fmtId val="3"/>
  </c:pivotSource>
  <c:chart>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EA9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EA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EA900"/>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TABLE'!$AC$4</c:f>
              <c:strCache>
                <c:ptCount val="1"/>
                <c:pt idx="0">
                  <c:v>Average of أيام التسليم المتفق عليه </c:v>
                </c:pt>
              </c:strCache>
            </c:strRef>
          </c:tx>
          <c:spPr>
            <a:ln w="28575" cap="rnd">
              <a:solidFill>
                <a:srgbClr val="C00000"/>
              </a:solidFill>
              <a:round/>
            </a:ln>
            <a:effectLst>
              <a:outerShdw blurRad="50800" dist="38100" dir="13500000" algn="br" rotWithShape="0">
                <a:prstClr val="black">
                  <a:alpha val="40000"/>
                </a:prstClr>
              </a:outerShdw>
            </a:effectLst>
          </c:spPr>
          <c:marker>
            <c:symbol val="none"/>
          </c:marker>
          <c:cat>
            <c:strRef>
              <c:f>'PIVOT TABLE'!$AB$5:$AB$11</c:f>
              <c:strCache>
                <c:ptCount val="6"/>
                <c:pt idx="0">
                  <c:v> الحج سيد </c:v>
                </c:pt>
                <c:pt idx="1">
                  <c:v> شركه شحن</c:v>
                </c:pt>
                <c:pt idx="2">
                  <c:v>فشل التسليم </c:v>
                </c:pt>
                <c:pt idx="3">
                  <c:v>لاغي </c:v>
                </c:pt>
                <c:pt idx="4">
                  <c:v>محمد</c:v>
                </c:pt>
                <c:pt idx="5">
                  <c:v>محمود على </c:v>
                </c:pt>
              </c:strCache>
            </c:strRef>
          </c:cat>
          <c:val>
            <c:numRef>
              <c:f>'PIVOT TABLE'!$AC$5:$AC$11</c:f>
              <c:numCache>
                <c:formatCode>_-* #,##0_-;\-* #,##0_-;_-* "-"??_-;_-@_-</c:formatCode>
                <c:ptCount val="6"/>
                <c:pt idx="0">
                  <c:v>8</c:v>
                </c:pt>
                <c:pt idx="1">
                  <c:v>20.25</c:v>
                </c:pt>
                <c:pt idx="2">
                  <c:v>7.666666666666667</c:v>
                </c:pt>
                <c:pt idx="3">
                  <c:v>27.857142857142858</c:v>
                </c:pt>
                <c:pt idx="4">
                  <c:v>16</c:v>
                </c:pt>
                <c:pt idx="5">
                  <c:v>22.898734177215189</c:v>
                </c:pt>
              </c:numCache>
            </c:numRef>
          </c:val>
          <c:smooth val="1"/>
          <c:extLst>
            <c:ext xmlns:c16="http://schemas.microsoft.com/office/drawing/2014/chart" uri="{C3380CC4-5D6E-409C-BE32-E72D297353CC}">
              <c16:uniqueId val="{00000000-68B8-459F-A8D1-3ACCBDB1C14E}"/>
            </c:ext>
          </c:extLst>
        </c:ser>
        <c:ser>
          <c:idx val="1"/>
          <c:order val="1"/>
          <c:tx>
            <c:strRef>
              <c:f>'PIVOT TABLE'!$AD$4</c:f>
              <c:strCache>
                <c:ptCount val="1"/>
                <c:pt idx="0">
                  <c:v>Average of أيام التسليم الفعلي </c:v>
                </c:pt>
              </c:strCache>
            </c:strRef>
          </c:tx>
          <c:spPr>
            <a:ln w="28575" cap="rnd">
              <a:solidFill>
                <a:srgbClr val="DEA900"/>
              </a:solidFill>
              <a:round/>
            </a:ln>
            <a:effectLst>
              <a:outerShdw blurRad="50800" dist="38100" dir="13500000" algn="br" rotWithShape="0">
                <a:prstClr val="black">
                  <a:alpha val="40000"/>
                </a:prstClr>
              </a:outerShdw>
            </a:effectLst>
          </c:spPr>
          <c:marker>
            <c:symbol val="none"/>
          </c:marker>
          <c:cat>
            <c:strRef>
              <c:f>'PIVOT TABLE'!$AB$5:$AB$11</c:f>
              <c:strCache>
                <c:ptCount val="6"/>
                <c:pt idx="0">
                  <c:v> الحج سيد </c:v>
                </c:pt>
                <c:pt idx="1">
                  <c:v> شركه شحن</c:v>
                </c:pt>
                <c:pt idx="2">
                  <c:v>فشل التسليم </c:v>
                </c:pt>
                <c:pt idx="3">
                  <c:v>لاغي </c:v>
                </c:pt>
                <c:pt idx="4">
                  <c:v>محمد</c:v>
                </c:pt>
                <c:pt idx="5">
                  <c:v>محمود على </c:v>
                </c:pt>
              </c:strCache>
            </c:strRef>
          </c:cat>
          <c:val>
            <c:numRef>
              <c:f>'PIVOT TABLE'!$AD$5:$AD$11</c:f>
              <c:numCache>
                <c:formatCode>_-* #,##0_-;\-* #,##0_-;_-* "-"??_-;_-@_-</c:formatCode>
                <c:ptCount val="6"/>
                <c:pt idx="0">
                  <c:v>8</c:v>
                </c:pt>
                <c:pt idx="1">
                  <c:v>18.7</c:v>
                </c:pt>
                <c:pt idx="2">
                  <c:v>0</c:v>
                </c:pt>
                <c:pt idx="3">
                  <c:v>0</c:v>
                </c:pt>
                <c:pt idx="4">
                  <c:v>1</c:v>
                </c:pt>
                <c:pt idx="5">
                  <c:v>19.278481012658229</c:v>
                </c:pt>
              </c:numCache>
            </c:numRef>
          </c:val>
          <c:smooth val="1"/>
          <c:extLst>
            <c:ext xmlns:c16="http://schemas.microsoft.com/office/drawing/2014/chart" uri="{C3380CC4-5D6E-409C-BE32-E72D297353CC}">
              <c16:uniqueId val="{00000001-68B8-459F-A8D1-3ACCBDB1C14E}"/>
            </c:ext>
          </c:extLst>
        </c:ser>
        <c:dLbls>
          <c:showLegendKey val="0"/>
          <c:showVal val="0"/>
          <c:showCatName val="0"/>
          <c:showSerName val="0"/>
          <c:showPercent val="0"/>
          <c:showBubbleSize val="0"/>
        </c:dLbls>
        <c:smooth val="0"/>
        <c:axId val="216839071"/>
        <c:axId val="216840735"/>
      </c:lineChart>
      <c:catAx>
        <c:axId val="216839071"/>
        <c:scaling>
          <c:orientation val="minMax"/>
        </c:scaling>
        <c:delete val="0"/>
        <c:axPos val="b"/>
        <c:numFmt formatCode="General" sourceLinked="1"/>
        <c:majorTickMark val="out"/>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ar-EG"/>
          </a:p>
        </c:txPr>
        <c:crossAx val="216840735"/>
        <c:crosses val="autoZero"/>
        <c:auto val="1"/>
        <c:lblAlgn val="ctr"/>
        <c:lblOffset val="100"/>
        <c:noMultiLvlLbl val="0"/>
      </c:catAx>
      <c:valAx>
        <c:axId val="216840735"/>
        <c:scaling>
          <c:orientation val="minMax"/>
        </c:scaling>
        <c:delete val="0"/>
        <c:axPos val="l"/>
        <c:majorGridlines>
          <c:spPr>
            <a:ln w="9525" cap="flat" cmpd="sng" algn="ctr">
              <a:solidFill>
                <a:schemeClr val="accent3">
                  <a:lumMod val="75000"/>
                </a:schemeClr>
              </a:solidFill>
              <a:prstDash val="sysDot"/>
              <a:round/>
            </a:ln>
            <a:effectLst/>
          </c:spPr>
        </c:majorGridlines>
        <c:numFmt formatCode="_-* #,##0_-;\-* #,##0_-;_-* &quot;-&quot;??_-;_-@_-" sourceLinked="1"/>
        <c:majorTickMark val="out"/>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ar-EG"/>
          </a:p>
        </c:txPr>
        <c:crossAx val="21683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50000"/>
      </a:schemeClr>
    </a:solidFill>
    <a:ln w="9525" cap="flat" cmpd="sng" algn="ctr">
      <a:solidFill>
        <a:schemeClr val="bg1"/>
      </a:solidFill>
      <a:round/>
    </a:ln>
    <a:effectLst/>
  </c:spPr>
  <c:txPr>
    <a:bodyPr/>
    <a:lstStyle/>
    <a:p>
      <a:pPr>
        <a:defRPr>
          <a:solidFill>
            <a:schemeClr val="bg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[MISUO - Desouky(1) (Recovered).xlsx]PIVOT TABLE!PivotTable12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F2FF"/>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TABLE'!$V$7</c:f>
              <c:strCache>
                <c:ptCount val="1"/>
                <c:pt idx="0">
                  <c:v>Total</c:v>
                </c:pt>
              </c:strCache>
            </c:strRef>
          </c:tx>
          <c:spPr>
            <a:solidFill>
              <a:srgbClr val="EAF2FF"/>
            </a:solidFill>
            <a:ln>
              <a:noFill/>
            </a:ln>
            <a:effectLst>
              <a:outerShdw blurRad="50800" dist="38100" dir="13500000" algn="br" rotWithShape="0">
                <a:prstClr val="black">
                  <a:alpha val="40000"/>
                </a:prstClr>
              </a:outerShdw>
            </a:effectLst>
          </c:spPr>
          <c:invertIfNegative val="0"/>
          <c:cat>
            <c:strRef>
              <c:f>'PIVOT TABLE'!$U$8:$U$14</c:f>
              <c:strCache>
                <c:ptCount val="6"/>
                <c:pt idx="0">
                  <c:v> الحج سيد </c:v>
                </c:pt>
                <c:pt idx="1">
                  <c:v> شركه شحن</c:v>
                </c:pt>
                <c:pt idx="2">
                  <c:v>فشل التسليم </c:v>
                </c:pt>
                <c:pt idx="3">
                  <c:v>لاغي </c:v>
                </c:pt>
                <c:pt idx="4">
                  <c:v>محمد</c:v>
                </c:pt>
                <c:pt idx="5">
                  <c:v>محمود على </c:v>
                </c:pt>
              </c:strCache>
            </c:strRef>
          </c:cat>
          <c:val>
            <c:numRef>
              <c:f>'PIVOT TABLE'!$V$8:$V$14</c:f>
              <c:numCache>
                <c:formatCode>_-* #,##0_-;\-* #,##0_-;_-* "-"??_-;_-@_-</c:formatCode>
                <c:ptCount val="6"/>
                <c:pt idx="0">
                  <c:v>4</c:v>
                </c:pt>
                <c:pt idx="1">
                  <c:v>20</c:v>
                </c:pt>
                <c:pt idx="2">
                  <c:v>3</c:v>
                </c:pt>
                <c:pt idx="3">
                  <c:v>14</c:v>
                </c:pt>
                <c:pt idx="4">
                  <c:v>1</c:v>
                </c:pt>
                <c:pt idx="5">
                  <c:v>79</c:v>
                </c:pt>
              </c:numCache>
            </c:numRef>
          </c:val>
          <c:extLst>
            <c:ext xmlns:c16="http://schemas.microsoft.com/office/drawing/2014/chart" uri="{C3380CC4-5D6E-409C-BE32-E72D297353CC}">
              <c16:uniqueId val="{00000000-F93A-4064-8B7F-C93AF1BF8FCB}"/>
            </c:ext>
          </c:extLst>
        </c:ser>
        <c:dLbls>
          <c:showLegendKey val="0"/>
          <c:showVal val="0"/>
          <c:showCatName val="0"/>
          <c:showSerName val="0"/>
          <c:showPercent val="0"/>
          <c:showBubbleSize val="0"/>
        </c:dLbls>
        <c:gapWidth val="112"/>
        <c:axId val="733551791"/>
        <c:axId val="733550959"/>
      </c:barChart>
      <c:catAx>
        <c:axId val="73355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ar-EG"/>
          </a:p>
        </c:txPr>
        <c:crossAx val="733550959"/>
        <c:crosses val="autoZero"/>
        <c:auto val="1"/>
        <c:lblAlgn val="ctr"/>
        <c:lblOffset val="100"/>
        <c:noMultiLvlLbl val="0"/>
      </c:catAx>
      <c:valAx>
        <c:axId val="733550959"/>
        <c:scaling>
          <c:orientation val="minMax"/>
        </c:scaling>
        <c:delete val="0"/>
        <c:axPos val="b"/>
        <c:majorGridlines>
          <c:spPr>
            <a:ln w="9525" cap="flat" cmpd="sng" algn="ctr">
              <a:solidFill>
                <a:schemeClr val="accent3">
                  <a:lumMod val="75000"/>
                </a:schemeClr>
              </a:solidFill>
              <a:prstDash val="sysDot"/>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ar-EG"/>
          </a:p>
        </c:txPr>
        <c:crossAx val="7335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50000"/>
      </a:schemeClr>
    </a:solidFill>
    <a:ln w="9525" cap="flat" cmpd="sng" algn="ctr">
      <a:solidFill>
        <a:schemeClr val="bg1">
          <a:alpha val="86000"/>
        </a:schemeClr>
      </a:solidFill>
      <a:round/>
    </a:ln>
    <a:effectLst/>
  </c:spPr>
  <c:txPr>
    <a:bodyPr/>
    <a:lstStyle/>
    <a:p>
      <a:pPr>
        <a:defRPr>
          <a:solidFill>
            <a:schemeClr val="bg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[MISUO - Desouky(1) (Recovered).xlsx]PIVOT TABLE!PivotTable11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w="19050">
            <a:noFill/>
          </a:ln>
          <a:effectLst/>
        </c:spPr>
      </c:pivotFmt>
      <c:pivotFmt>
        <c:idx val="11"/>
        <c:spPr>
          <a:solidFill>
            <a:schemeClr val="accent2">
              <a:lumMod val="50000"/>
            </a:schemeClr>
          </a:solidFill>
          <a:ln w="19050">
            <a:noFill/>
          </a:ln>
          <a:effectLst/>
        </c:spPr>
      </c:pivotFmt>
      <c:pivotFmt>
        <c:idx val="12"/>
        <c:spPr>
          <a:solidFill>
            <a:srgbClr val="C00000"/>
          </a:solidFill>
          <a:ln w="19050">
            <a:noFill/>
          </a:ln>
          <a:effectLst/>
        </c:spPr>
      </c:pivotFmt>
      <c:pivotFmt>
        <c:idx val="13"/>
        <c:spPr>
          <a:solidFill>
            <a:schemeClr val="bg2"/>
          </a:solidFill>
          <a:ln w="19050">
            <a:noFill/>
          </a:ln>
          <a:effectLst>
            <a:outerShdw blurRad="50800" dist="38100" dir="13500000" algn="br" rotWithShape="0">
              <a:prstClr val="black">
                <a:alpha val="40000"/>
              </a:prstClr>
            </a:outerShdw>
          </a:effectLst>
        </c:spPr>
      </c:pivotFmt>
      <c:pivotFmt>
        <c:idx val="14"/>
        <c:spPr>
          <a:solidFill>
            <a:schemeClr val="accent1"/>
          </a:solidFill>
          <a:ln w="19050">
            <a:noFill/>
          </a:ln>
          <a:effectLst/>
        </c:spPr>
      </c:pivotFmt>
      <c:pivotFmt>
        <c:idx val="15"/>
        <c:spPr>
          <a:solidFill>
            <a:schemeClr val="bg2"/>
          </a:solidFill>
          <a:ln w="19050">
            <a:noFill/>
          </a:ln>
          <a:effectLst/>
        </c:spPr>
      </c:pivotFmt>
      <c:pivotFmt>
        <c:idx val="16"/>
        <c:spPr>
          <a:solidFill>
            <a:schemeClr val="bg2"/>
          </a:solidFill>
          <a:ln w="19050">
            <a:noFill/>
          </a:ln>
          <a:effectLst/>
        </c:spPr>
      </c:pivotFmt>
    </c:pivotFmts>
    <c:plotArea>
      <c:layout/>
      <c:doughnutChart>
        <c:varyColors val="1"/>
        <c:ser>
          <c:idx val="0"/>
          <c:order val="0"/>
          <c:tx>
            <c:strRef>
              <c:f>'PIVOT TABLE'!$R$4</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41C3-4523-8EA2-C5C663D34658}"/>
              </c:ext>
            </c:extLst>
          </c:dPt>
          <c:dPt>
            <c:idx val="1"/>
            <c:bubble3D val="0"/>
            <c:spPr>
              <a:solidFill>
                <a:schemeClr val="accent2">
                  <a:lumMod val="50000"/>
                </a:schemeClr>
              </a:solidFill>
              <a:ln w="19050">
                <a:noFill/>
              </a:ln>
              <a:effectLst/>
            </c:spPr>
            <c:extLst>
              <c:ext xmlns:c16="http://schemas.microsoft.com/office/drawing/2014/chart" uri="{C3380CC4-5D6E-409C-BE32-E72D297353CC}">
                <c16:uniqueId val="{00000003-41C3-4523-8EA2-C5C663D34658}"/>
              </c:ext>
            </c:extLst>
          </c:dPt>
          <c:dPt>
            <c:idx val="2"/>
            <c:bubble3D val="0"/>
            <c:spPr>
              <a:solidFill>
                <a:srgbClr val="C00000"/>
              </a:solidFill>
              <a:ln w="19050">
                <a:noFill/>
              </a:ln>
              <a:effectLst/>
            </c:spPr>
            <c:extLst>
              <c:ext xmlns:c16="http://schemas.microsoft.com/office/drawing/2014/chart" uri="{C3380CC4-5D6E-409C-BE32-E72D297353CC}">
                <c16:uniqueId val="{00000005-41C3-4523-8EA2-C5C663D34658}"/>
              </c:ext>
            </c:extLst>
          </c:dPt>
          <c:dPt>
            <c:idx val="3"/>
            <c:bubble3D val="0"/>
            <c:spPr>
              <a:solidFill>
                <a:schemeClr val="bg2"/>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7-41C3-4523-8EA2-C5C663D34658}"/>
              </c:ext>
            </c:extLst>
          </c:dPt>
          <c:dPt>
            <c:idx val="4"/>
            <c:bubble3D val="0"/>
            <c:spPr>
              <a:solidFill>
                <a:schemeClr val="accent5"/>
              </a:solidFill>
              <a:ln w="19050">
                <a:noFill/>
              </a:ln>
              <a:effectLst/>
            </c:spPr>
            <c:extLst>
              <c:ext xmlns:c16="http://schemas.microsoft.com/office/drawing/2014/chart" uri="{C3380CC4-5D6E-409C-BE32-E72D297353CC}">
                <c16:uniqueId val="{00000009-41C3-4523-8EA2-C5C663D34658}"/>
              </c:ext>
            </c:extLst>
          </c:dPt>
          <c:dPt>
            <c:idx val="5"/>
            <c:bubble3D val="0"/>
            <c:spPr>
              <a:solidFill>
                <a:schemeClr val="bg2"/>
              </a:solidFill>
              <a:ln w="19050">
                <a:noFill/>
              </a:ln>
              <a:effectLst/>
            </c:spPr>
            <c:extLst>
              <c:ext xmlns:c16="http://schemas.microsoft.com/office/drawing/2014/chart" uri="{C3380CC4-5D6E-409C-BE32-E72D297353CC}">
                <c16:uniqueId val="{0000000B-41C3-4523-8EA2-C5C663D34658}"/>
              </c:ext>
            </c:extLst>
          </c:dPt>
          <c:dPt>
            <c:idx val="6"/>
            <c:bubble3D val="0"/>
            <c:spPr>
              <a:solidFill>
                <a:schemeClr val="bg2"/>
              </a:solidFill>
              <a:ln w="19050">
                <a:noFill/>
              </a:ln>
              <a:effectLst/>
            </c:spPr>
            <c:extLst>
              <c:ext xmlns:c16="http://schemas.microsoft.com/office/drawing/2014/chart" uri="{C3380CC4-5D6E-409C-BE32-E72D297353CC}">
                <c16:uniqueId val="{0000000D-41C3-4523-8EA2-C5C663D34658}"/>
              </c:ext>
            </c:extLst>
          </c:dPt>
          <c:cat>
            <c:strRef>
              <c:f>'PIVOT TABLE'!$Q$5:$Q$12</c:f>
              <c:strCache>
                <c:ptCount val="7"/>
                <c:pt idx="0">
                  <c:v>ترابيزه</c:v>
                </c:pt>
                <c:pt idx="1">
                  <c:v>ركنة</c:v>
                </c:pt>
                <c:pt idx="2">
                  <c:v>سرير</c:v>
                </c:pt>
                <c:pt idx="3">
                  <c:v>سرير </c:v>
                </c:pt>
                <c:pt idx="4">
                  <c:v>شيزلونج</c:v>
                </c:pt>
                <c:pt idx="5">
                  <c:v>كرسى</c:v>
                </c:pt>
                <c:pt idx="6">
                  <c:v>كنبة </c:v>
                </c:pt>
              </c:strCache>
            </c:strRef>
          </c:cat>
          <c:val>
            <c:numRef>
              <c:f>'PIVOT TABLE'!$R$5:$R$12</c:f>
              <c:numCache>
                <c:formatCode>0%</c:formatCode>
                <c:ptCount val="7"/>
                <c:pt idx="0">
                  <c:v>9.8858054882400806E-2</c:v>
                </c:pt>
                <c:pt idx="1">
                  <c:v>1.775424458495839E-2</c:v>
                </c:pt>
                <c:pt idx="2">
                  <c:v>0.64051447667711503</c:v>
                </c:pt>
                <c:pt idx="3">
                  <c:v>3.4798319386518443E-2</c:v>
                </c:pt>
                <c:pt idx="4">
                  <c:v>0</c:v>
                </c:pt>
                <c:pt idx="5">
                  <c:v>7.5052033927324102E-3</c:v>
                </c:pt>
                <c:pt idx="6">
                  <c:v>0.20056970107627492</c:v>
                </c:pt>
              </c:numCache>
            </c:numRef>
          </c:val>
          <c:extLst>
            <c:ext xmlns:c16="http://schemas.microsoft.com/office/drawing/2014/chart" uri="{C3380CC4-5D6E-409C-BE32-E72D297353CC}">
              <c16:uniqueId val="{0000000E-41C3-4523-8EA2-C5C663D34658}"/>
            </c:ext>
          </c:extLst>
        </c:ser>
        <c:dLbls>
          <c:showLegendKey val="0"/>
          <c:showVal val="0"/>
          <c:showCatName val="0"/>
          <c:showSerName val="0"/>
          <c:showPercent val="0"/>
          <c:showBubbleSize val="0"/>
          <c:showLeaderLines val="1"/>
        </c:dLbls>
        <c:firstSliceAng val="0"/>
        <c:holeSize val="5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50000"/>
      </a:schemeClr>
    </a:solidFill>
    <a:ln w="9525" cap="flat" cmpd="sng" algn="ctr">
      <a:solidFill>
        <a:schemeClr val="accent3">
          <a:lumMod val="50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[MISUO - Desouky(1) (Recovered).xlsx]PIVOT TABLE!PivotTable11</c:name>
    <c:fmtId val="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a:outerShdw blurRad="50800" dist="38100" dir="13500000" algn="br" rotWithShape="0">
              <a:prstClr val="black">
                <a:alpha val="40000"/>
              </a:prstClr>
            </a:outerShdw>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a:outerShdw blurRad="50800" dist="38100" dir="13500000" algn="br" rotWithShape="0">
              <a:prstClr val="black">
                <a:alpha val="40000"/>
              </a:prstClr>
            </a:outerShdw>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hade val="47000"/>
            </a:schemeClr>
          </a:solidFill>
          <a:ln w="19050">
            <a:solidFill>
              <a:schemeClr val="lt1"/>
            </a:solidFill>
          </a:ln>
          <a:effectLst/>
        </c:spPr>
      </c:pivotFmt>
      <c:pivotFmt>
        <c:idx val="27"/>
        <c:spPr>
          <a:solidFill>
            <a:schemeClr val="accent2">
              <a:lumMod val="75000"/>
            </a:schemeClr>
          </a:solidFill>
          <a:ln w="19050">
            <a:solidFill>
              <a:schemeClr val="lt1"/>
            </a:solidFill>
          </a:ln>
          <a:effectLst/>
        </c:spPr>
      </c:pivotFmt>
      <c:pivotFmt>
        <c:idx val="28"/>
        <c:spPr>
          <a:solidFill>
            <a:schemeClr val="accent2">
              <a:shade val="82000"/>
            </a:schemeClr>
          </a:solidFill>
          <a:ln w="19050">
            <a:solidFill>
              <a:schemeClr val="lt1"/>
            </a:solidFill>
          </a:ln>
          <a:effectLst/>
        </c:spPr>
      </c:pivotFmt>
      <c:pivotFmt>
        <c:idx val="29"/>
        <c:spPr>
          <a:solidFill>
            <a:schemeClr val="accent2">
              <a:lumMod val="40000"/>
              <a:lumOff val="60000"/>
            </a:schemeClr>
          </a:solidFill>
          <a:ln w="19050">
            <a:solidFill>
              <a:schemeClr val="lt1"/>
            </a:solidFill>
          </a:ln>
          <a:effectLst>
            <a:outerShdw blurRad="50800" dist="38100" dir="13500000" algn="br" rotWithShape="0">
              <a:prstClr val="black">
                <a:alpha val="40000"/>
              </a:prstClr>
            </a:outerShdw>
          </a:effectLst>
        </c:spPr>
      </c:pivotFmt>
      <c:pivotFmt>
        <c:idx val="30"/>
        <c:spPr>
          <a:solidFill>
            <a:schemeClr val="accent2">
              <a:tint val="83000"/>
            </a:schemeClr>
          </a:solidFill>
          <a:ln w="19050">
            <a:solidFill>
              <a:schemeClr val="lt1"/>
            </a:solidFill>
          </a:ln>
          <a:effectLst/>
        </c:spPr>
      </c:pivotFmt>
      <c:pivotFmt>
        <c:idx val="31"/>
        <c:spPr>
          <a:solidFill>
            <a:schemeClr val="accent2">
              <a:tint val="65000"/>
            </a:schemeClr>
          </a:solidFill>
          <a:ln w="19050">
            <a:solidFill>
              <a:schemeClr val="lt1"/>
            </a:solidFill>
          </a:ln>
          <a:effectLst/>
        </c:spPr>
      </c:pivotFmt>
      <c:pivotFmt>
        <c:idx val="32"/>
        <c:spPr>
          <a:solidFill>
            <a:schemeClr val="accent2">
              <a:tint val="48000"/>
            </a:schemeClr>
          </a:solidFill>
          <a:ln w="19050">
            <a:solidFill>
              <a:schemeClr val="lt1"/>
            </a:solidFill>
          </a:ln>
          <a:effectLst/>
        </c:spPr>
      </c:pivotFmt>
    </c:pivotFmts>
    <c:plotArea>
      <c:layout/>
      <c:doughnutChart>
        <c:varyColors val="1"/>
        <c:ser>
          <c:idx val="0"/>
          <c:order val="0"/>
          <c:tx>
            <c:strRef>
              <c:f>'PIVOT TABLE'!$R$4</c:f>
              <c:strCache>
                <c:ptCount val="1"/>
                <c:pt idx="0">
                  <c:v>Total</c:v>
                </c:pt>
              </c:strCache>
            </c:strRef>
          </c:tx>
          <c:dPt>
            <c:idx val="0"/>
            <c:bubble3D val="0"/>
            <c:spPr>
              <a:solidFill>
                <a:schemeClr val="accent2">
                  <a:shade val="47000"/>
                </a:schemeClr>
              </a:solidFill>
              <a:ln w="19050">
                <a:solidFill>
                  <a:schemeClr val="lt1"/>
                </a:solidFill>
              </a:ln>
              <a:effectLst/>
            </c:spPr>
            <c:extLst>
              <c:ext xmlns:c16="http://schemas.microsoft.com/office/drawing/2014/chart" uri="{C3380CC4-5D6E-409C-BE32-E72D297353CC}">
                <c16:uniqueId val="{00000001-33D9-43AB-9E96-EC00CEBDDAE0}"/>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33D9-43AB-9E96-EC00CEBDDAE0}"/>
              </c:ext>
            </c:extLst>
          </c:dPt>
          <c:dPt>
            <c:idx val="2"/>
            <c:bubble3D val="0"/>
            <c:spPr>
              <a:solidFill>
                <a:schemeClr val="accent2">
                  <a:shade val="82000"/>
                </a:schemeClr>
              </a:solidFill>
              <a:ln w="19050">
                <a:solidFill>
                  <a:schemeClr val="lt1"/>
                </a:solidFill>
              </a:ln>
              <a:effectLst/>
            </c:spPr>
            <c:extLst>
              <c:ext xmlns:c16="http://schemas.microsoft.com/office/drawing/2014/chart" uri="{C3380CC4-5D6E-409C-BE32-E72D297353CC}">
                <c16:uniqueId val="{00000005-33D9-43AB-9E96-EC00CEBDDAE0}"/>
              </c:ext>
            </c:extLst>
          </c:dPt>
          <c:dPt>
            <c:idx val="3"/>
            <c:bubble3D val="0"/>
            <c:spPr>
              <a:solidFill>
                <a:schemeClr val="accent2">
                  <a:lumMod val="40000"/>
                  <a:lumOff val="60000"/>
                </a:schemeClr>
              </a:solidFill>
              <a:ln w="19050">
                <a:solidFill>
                  <a:schemeClr val="lt1"/>
                </a:solid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7-33D9-43AB-9E96-EC00CEBDDAE0}"/>
              </c:ext>
            </c:extLst>
          </c:dPt>
          <c:dPt>
            <c:idx val="4"/>
            <c:bubble3D val="0"/>
            <c:spPr>
              <a:solidFill>
                <a:schemeClr val="accent2">
                  <a:tint val="83000"/>
                </a:schemeClr>
              </a:solidFill>
              <a:ln w="19050">
                <a:solidFill>
                  <a:schemeClr val="lt1"/>
                </a:solidFill>
              </a:ln>
              <a:effectLst/>
            </c:spPr>
            <c:extLst>
              <c:ext xmlns:c16="http://schemas.microsoft.com/office/drawing/2014/chart" uri="{C3380CC4-5D6E-409C-BE32-E72D297353CC}">
                <c16:uniqueId val="{00000009-33D9-43AB-9E96-EC00CEBDDAE0}"/>
              </c:ext>
            </c:extLst>
          </c:dPt>
          <c:dPt>
            <c:idx val="5"/>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B-33D9-43AB-9E96-EC00CEBDDAE0}"/>
              </c:ext>
            </c:extLst>
          </c:dPt>
          <c:dPt>
            <c:idx val="6"/>
            <c:bubble3D val="0"/>
            <c:spPr>
              <a:solidFill>
                <a:schemeClr val="accent2">
                  <a:tint val="48000"/>
                </a:schemeClr>
              </a:solidFill>
              <a:ln w="19050">
                <a:solidFill>
                  <a:schemeClr val="lt1"/>
                </a:solidFill>
              </a:ln>
              <a:effectLst/>
            </c:spPr>
            <c:extLst>
              <c:ext xmlns:c16="http://schemas.microsoft.com/office/drawing/2014/chart" uri="{C3380CC4-5D6E-409C-BE32-E72D297353CC}">
                <c16:uniqueId val="{0000000D-33D9-43AB-9E96-EC00CEBDDAE0}"/>
              </c:ext>
            </c:extLst>
          </c:dPt>
          <c:cat>
            <c:strRef>
              <c:f>'PIVOT TABLE'!$Q$5:$Q$12</c:f>
              <c:strCache>
                <c:ptCount val="7"/>
                <c:pt idx="0">
                  <c:v>ترابيزه</c:v>
                </c:pt>
                <c:pt idx="1">
                  <c:v>ركنة</c:v>
                </c:pt>
                <c:pt idx="2">
                  <c:v>سرير</c:v>
                </c:pt>
                <c:pt idx="3">
                  <c:v>سرير </c:v>
                </c:pt>
                <c:pt idx="4">
                  <c:v>شيزلونج</c:v>
                </c:pt>
                <c:pt idx="5">
                  <c:v>كرسى</c:v>
                </c:pt>
                <c:pt idx="6">
                  <c:v>كنبة </c:v>
                </c:pt>
              </c:strCache>
            </c:strRef>
          </c:cat>
          <c:val>
            <c:numRef>
              <c:f>'PIVOT TABLE'!$R$5:$R$12</c:f>
              <c:numCache>
                <c:formatCode>0%</c:formatCode>
                <c:ptCount val="7"/>
                <c:pt idx="0">
                  <c:v>9.8858054882400806E-2</c:v>
                </c:pt>
                <c:pt idx="1">
                  <c:v>1.775424458495839E-2</c:v>
                </c:pt>
                <c:pt idx="2">
                  <c:v>0.64051447667711503</c:v>
                </c:pt>
                <c:pt idx="3">
                  <c:v>3.4798319386518443E-2</c:v>
                </c:pt>
                <c:pt idx="4">
                  <c:v>0</c:v>
                </c:pt>
                <c:pt idx="5">
                  <c:v>7.5052033927324102E-3</c:v>
                </c:pt>
                <c:pt idx="6">
                  <c:v>0.20056970107627492</c:v>
                </c:pt>
              </c:numCache>
            </c:numRef>
          </c:val>
          <c:extLst>
            <c:ext xmlns:c16="http://schemas.microsoft.com/office/drawing/2014/chart" uri="{C3380CC4-5D6E-409C-BE32-E72D297353CC}">
              <c16:uniqueId val="{0000000E-33D9-43AB-9E96-EC00CEBDDAE0}"/>
            </c:ext>
          </c:extLst>
        </c:ser>
        <c:dLbls>
          <c:showLegendKey val="0"/>
          <c:showVal val="0"/>
          <c:showCatName val="0"/>
          <c:showSerName val="0"/>
          <c:showPercent val="0"/>
          <c:showBubbleSize val="0"/>
          <c:showLeaderLines val="1"/>
        </c:dLbls>
        <c:firstSliceAng val="0"/>
        <c:holeSize val="5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[MISUO - Desouky(1) (Recovered).xlsx]PIVOT TABLE!PivotTable12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F2FF"/>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AF2FF"/>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TABLE'!$V$7</c:f>
              <c:strCache>
                <c:ptCount val="1"/>
                <c:pt idx="0">
                  <c:v>Total</c:v>
                </c:pt>
              </c:strCache>
            </c:strRef>
          </c:tx>
          <c:spPr>
            <a:solidFill>
              <a:schemeClr val="accent2">
                <a:lumMod val="75000"/>
              </a:schemeClr>
            </a:solidFill>
            <a:ln>
              <a:noFill/>
            </a:ln>
            <a:effectLst>
              <a:outerShdw blurRad="50800" dist="38100" dir="13500000" algn="br" rotWithShape="0">
                <a:prstClr val="black">
                  <a:alpha val="40000"/>
                </a:prstClr>
              </a:outerShdw>
            </a:effectLst>
          </c:spPr>
          <c:invertIfNegative val="0"/>
          <c:cat>
            <c:strRef>
              <c:f>'PIVOT TABLE'!$U$8:$U$14</c:f>
              <c:strCache>
                <c:ptCount val="6"/>
                <c:pt idx="0">
                  <c:v> الحج سيد </c:v>
                </c:pt>
                <c:pt idx="1">
                  <c:v> شركه شحن</c:v>
                </c:pt>
                <c:pt idx="2">
                  <c:v>فشل التسليم </c:v>
                </c:pt>
                <c:pt idx="3">
                  <c:v>لاغي </c:v>
                </c:pt>
                <c:pt idx="4">
                  <c:v>محمد</c:v>
                </c:pt>
                <c:pt idx="5">
                  <c:v>محمود على </c:v>
                </c:pt>
              </c:strCache>
            </c:strRef>
          </c:cat>
          <c:val>
            <c:numRef>
              <c:f>'PIVOT TABLE'!$V$8:$V$14</c:f>
              <c:numCache>
                <c:formatCode>_-* #,##0_-;\-* #,##0_-;_-* "-"??_-;_-@_-</c:formatCode>
                <c:ptCount val="6"/>
                <c:pt idx="0">
                  <c:v>4</c:v>
                </c:pt>
                <c:pt idx="1">
                  <c:v>20</c:v>
                </c:pt>
                <c:pt idx="2">
                  <c:v>3</c:v>
                </c:pt>
                <c:pt idx="3">
                  <c:v>14</c:v>
                </c:pt>
                <c:pt idx="4">
                  <c:v>1</c:v>
                </c:pt>
                <c:pt idx="5">
                  <c:v>79</c:v>
                </c:pt>
              </c:numCache>
            </c:numRef>
          </c:val>
          <c:extLst>
            <c:ext xmlns:c16="http://schemas.microsoft.com/office/drawing/2014/chart" uri="{C3380CC4-5D6E-409C-BE32-E72D297353CC}">
              <c16:uniqueId val="{00000000-A9FA-4E8B-94FB-DF3AFD0D0523}"/>
            </c:ext>
          </c:extLst>
        </c:ser>
        <c:dLbls>
          <c:showLegendKey val="0"/>
          <c:showVal val="0"/>
          <c:showCatName val="0"/>
          <c:showSerName val="0"/>
          <c:showPercent val="0"/>
          <c:showBubbleSize val="0"/>
        </c:dLbls>
        <c:gapWidth val="32"/>
        <c:axId val="733551791"/>
        <c:axId val="733550959"/>
      </c:barChart>
      <c:catAx>
        <c:axId val="73355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crossAx val="733550959"/>
        <c:crosses val="autoZero"/>
        <c:auto val="1"/>
        <c:lblAlgn val="ctr"/>
        <c:lblOffset val="100"/>
        <c:noMultiLvlLbl val="0"/>
      </c:catAx>
      <c:valAx>
        <c:axId val="733550959"/>
        <c:scaling>
          <c:orientation val="minMax"/>
        </c:scaling>
        <c:delete val="0"/>
        <c:axPos val="b"/>
        <c:majorGridlines>
          <c:spPr>
            <a:ln w="9525" cap="flat" cmpd="sng" algn="ctr">
              <a:solidFill>
                <a:schemeClr val="accent3">
                  <a:lumMod val="75000"/>
                </a:schemeClr>
              </a:solidFill>
              <a:prstDash val="sysDot"/>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crossAx val="7335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86000"/>
        </a:schemeClr>
      </a:solidFill>
      <a:round/>
    </a:ln>
    <a:effectLst/>
  </c:spPr>
  <c:txPr>
    <a:bodyPr/>
    <a:lstStyle/>
    <a:p>
      <a:pPr>
        <a:defRPr>
          <a:solidFill>
            <a:schemeClr val="bg2"/>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[MISUO - Desouky(1) (Recovered).xlsx]PIVOT TABLE!PivotTable14</c:name>
    <c:fmtId val="6"/>
  </c:pivotSource>
  <c:chart>
    <c:autoTitleDeleted val="1"/>
    <c:pivotFmts>
      <c:pivotFmt>
        <c:idx val="0"/>
        <c:spPr>
          <a:solidFill>
            <a:schemeClr val="accent1"/>
          </a:solidFill>
          <a:ln w="47625" cap="rnd">
            <a:solidFill>
              <a:srgbClr val="EAF2FF"/>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cap="rnd">
            <a:solidFill>
              <a:srgbClr val="EAF2FF"/>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cap="rnd">
            <a:solidFill>
              <a:srgbClr val="EAF2FF"/>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7625" cap="rnd">
            <a:solidFill>
              <a:srgbClr val="EAF2FF"/>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chemeClr val="accent2">
                <a:lumMod val="75000"/>
              </a:schemeClr>
            </a:solidFill>
            <a:round/>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TABLE'!$AH$4</c:f>
              <c:strCache>
                <c:ptCount val="1"/>
                <c:pt idx="0">
                  <c:v>Total</c:v>
                </c:pt>
              </c:strCache>
            </c:strRef>
          </c:tx>
          <c:spPr>
            <a:ln w="47625" cap="rnd">
              <a:solidFill>
                <a:schemeClr val="accent2">
                  <a:lumMod val="75000"/>
                </a:schemeClr>
              </a:solidFill>
              <a:round/>
            </a:ln>
            <a:effectLst>
              <a:outerShdw blurRad="50800" dist="38100" dir="13500000" algn="br" rotWithShape="0">
                <a:prstClr val="black">
                  <a:alpha val="40000"/>
                </a:prstClr>
              </a:outerShdw>
            </a:effectLst>
          </c:spPr>
          <c:marker>
            <c:symbol val="none"/>
          </c:marker>
          <c:cat>
            <c:strRef>
              <c:f>'PIVOT TABLE'!$AG$5:$AG$12</c:f>
              <c:strCache>
                <c:ptCount val="7"/>
                <c:pt idx="0">
                  <c:v>(blank)</c:v>
                </c:pt>
                <c:pt idx="1">
                  <c:v>يوليو</c:v>
                </c:pt>
                <c:pt idx="2">
                  <c:v>أغسطس</c:v>
                </c:pt>
                <c:pt idx="3">
                  <c:v>سبتمبر</c:v>
                </c:pt>
                <c:pt idx="4">
                  <c:v>أكتوبر</c:v>
                </c:pt>
                <c:pt idx="5">
                  <c:v>نوفمبر</c:v>
                </c:pt>
                <c:pt idx="6">
                  <c:v>ديسمبر</c:v>
                </c:pt>
              </c:strCache>
            </c:strRef>
          </c:cat>
          <c:val>
            <c:numRef>
              <c:f>'PIVOT TABLE'!$AH$5:$AH$12</c:f>
              <c:numCache>
                <c:formatCode>0%</c:formatCode>
                <c:ptCount val="7"/>
                <c:pt idx="0">
                  <c:v>1.2912177879969738E-2</c:v>
                </c:pt>
                <c:pt idx="1">
                  <c:v>3.40038062411483E-2</c:v>
                </c:pt>
                <c:pt idx="2">
                  <c:v>7.202816327005869E-2</c:v>
                </c:pt>
                <c:pt idx="3">
                  <c:v>0.5410614107377244</c:v>
                </c:pt>
                <c:pt idx="4">
                  <c:v>0.17716138766015294</c:v>
                </c:pt>
                <c:pt idx="5">
                  <c:v>0.12231383301248333</c:v>
                </c:pt>
                <c:pt idx="6">
                  <c:v>4.0519221198462532E-2</c:v>
                </c:pt>
              </c:numCache>
            </c:numRef>
          </c:val>
          <c:smooth val="1"/>
          <c:extLst>
            <c:ext xmlns:c16="http://schemas.microsoft.com/office/drawing/2014/chart" uri="{C3380CC4-5D6E-409C-BE32-E72D297353CC}">
              <c16:uniqueId val="{00000000-2DBB-40B8-A07C-2E7319CDA4A9}"/>
            </c:ext>
          </c:extLst>
        </c:ser>
        <c:dLbls>
          <c:showLegendKey val="0"/>
          <c:showVal val="0"/>
          <c:showCatName val="0"/>
          <c:showSerName val="0"/>
          <c:showPercent val="0"/>
          <c:showBubbleSize val="0"/>
        </c:dLbls>
        <c:smooth val="0"/>
        <c:axId val="1751885279"/>
        <c:axId val="1751872383"/>
      </c:lineChart>
      <c:catAx>
        <c:axId val="175188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751872383"/>
        <c:crosses val="autoZero"/>
        <c:auto val="1"/>
        <c:lblAlgn val="ctr"/>
        <c:lblOffset val="100"/>
        <c:noMultiLvlLbl val="0"/>
      </c:catAx>
      <c:valAx>
        <c:axId val="1751872383"/>
        <c:scaling>
          <c:orientation val="minMax"/>
        </c:scaling>
        <c:delete val="0"/>
        <c:axPos val="l"/>
        <c:majorGridlines>
          <c:spPr>
            <a:ln w="9525" cap="flat" cmpd="sng" algn="ctr">
              <a:solidFill>
                <a:schemeClr val="accent3">
                  <a:lumMod val="75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ar-EG"/>
          </a:p>
        </c:txPr>
        <c:crossAx val="175188527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pieChart>
        <c:varyColors val="1"/>
        <c:ser>
          <c:idx val="0"/>
          <c:order val="0"/>
          <c:spPr>
            <a:ln>
              <a:noFill/>
            </a:ln>
          </c:spPr>
          <c:dPt>
            <c:idx val="0"/>
            <c:bubble3D val="0"/>
            <c:spPr>
              <a:solidFill>
                <a:schemeClr val="accent2">
                  <a:shade val="65000"/>
                </a:schemeClr>
              </a:solidFill>
              <a:ln w="19050">
                <a:noFill/>
              </a:ln>
              <a:effectLst/>
            </c:spPr>
            <c:extLst>
              <c:ext xmlns:c16="http://schemas.microsoft.com/office/drawing/2014/chart" uri="{C3380CC4-5D6E-409C-BE32-E72D297353CC}">
                <c16:uniqueId val="{00000001-A015-409E-91A4-3D141974A7B4}"/>
              </c:ext>
            </c:extLst>
          </c:dPt>
          <c:dPt>
            <c:idx val="1"/>
            <c:bubble3D val="0"/>
            <c:spPr>
              <a:solidFill>
                <a:schemeClr val="accent2"/>
              </a:solidFill>
              <a:ln w="19050">
                <a:noFill/>
              </a:ln>
              <a:effectLst/>
            </c:spPr>
            <c:extLst>
              <c:ext xmlns:c16="http://schemas.microsoft.com/office/drawing/2014/chart" uri="{C3380CC4-5D6E-409C-BE32-E72D297353CC}">
                <c16:uniqueId val="{00000003-A015-409E-91A4-3D141974A7B4}"/>
              </c:ext>
            </c:extLst>
          </c:dPt>
          <c:dPt>
            <c:idx val="2"/>
            <c:bubble3D val="0"/>
            <c:spPr>
              <a:solidFill>
                <a:schemeClr val="accent2">
                  <a:tint val="65000"/>
                </a:schemeClr>
              </a:solidFill>
              <a:ln w="19050">
                <a:noFill/>
              </a:ln>
              <a:effectLst/>
            </c:spPr>
            <c:extLst>
              <c:ext xmlns:c16="http://schemas.microsoft.com/office/drawing/2014/chart" uri="{C3380CC4-5D6E-409C-BE32-E72D297353CC}">
                <c16:uniqueId val="{00000005-A015-409E-91A4-3D141974A7B4}"/>
              </c:ext>
            </c:extLst>
          </c:dPt>
          <c:cat>
            <c:strRef>
              <c:f>'PIVOT TABLE'!$AM$17:$AM$19</c:f>
              <c:strCache>
                <c:ptCount val="3"/>
                <c:pt idx="0">
                  <c:v>القاهرة</c:v>
                </c:pt>
                <c:pt idx="1">
                  <c:v>الجيزة</c:v>
                </c:pt>
                <c:pt idx="2">
                  <c:v>البحر الأحمر</c:v>
                </c:pt>
              </c:strCache>
            </c:strRef>
          </c:cat>
          <c:val>
            <c:numRef>
              <c:f>'PIVOT TABLE'!$AN$17:$AN$19</c:f>
              <c:numCache>
                <c:formatCode>0%</c:formatCode>
                <c:ptCount val="3"/>
                <c:pt idx="0">
                  <c:v>0.64021556606924646</c:v>
                </c:pt>
                <c:pt idx="1">
                  <c:v>0.17842490180637482</c:v>
                </c:pt>
                <c:pt idx="2">
                  <c:v>5.2889894618591039E-2</c:v>
                </c:pt>
              </c:numCache>
            </c:numRef>
          </c:val>
          <c:extLst>
            <c:ext xmlns:c16="http://schemas.microsoft.com/office/drawing/2014/chart" uri="{C3380CC4-5D6E-409C-BE32-E72D297353CC}">
              <c16:uniqueId val="{00000006-A015-409E-91A4-3D141974A7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75000"/>
              </a:schemeClr>
            </a:solidFill>
            <a:ln>
              <a:solidFill>
                <a:schemeClr val="accent2">
                  <a:lumMod val="50000"/>
                </a:schemeClr>
              </a:solidFill>
            </a:ln>
            <a:effectLst>
              <a:outerShdw blurRad="50800" dist="38100" dir="18900000" algn="bl" rotWithShape="0">
                <a:prstClr val="black">
                  <a:alpha val="40000"/>
                </a:prstClr>
              </a:outerShdw>
            </a:effectLst>
          </c:spPr>
          <c:invertIfNegative val="0"/>
          <c:cat>
            <c:strRef>
              <c:f>'PIVOT TABLE'!$BB$19:$BB$24</c:f>
              <c:strCache>
                <c:ptCount val="6"/>
                <c:pt idx="0">
                  <c:v>شيك هومز</c:v>
                </c:pt>
                <c:pt idx="1">
                  <c:v>تاكي</c:v>
                </c:pt>
                <c:pt idx="2">
                  <c:v>احمد</c:v>
                </c:pt>
                <c:pt idx="3">
                  <c:v>ساره</c:v>
                </c:pt>
                <c:pt idx="4">
                  <c:v>اوسكار راتن</c:v>
                </c:pt>
                <c:pt idx="5">
                  <c:v>احمد خالد</c:v>
                </c:pt>
              </c:strCache>
            </c:strRef>
          </c:cat>
          <c:val>
            <c:numRef>
              <c:f>'PIVOT TABLE'!$BC$19:$BC$24</c:f>
              <c:numCache>
                <c:formatCode>0%</c:formatCode>
                <c:ptCount val="6"/>
                <c:pt idx="0">
                  <c:v>0.29226648706567981</c:v>
                </c:pt>
                <c:pt idx="1">
                  <c:v>0.12978870797516989</c:v>
                </c:pt>
                <c:pt idx="2">
                  <c:v>0.1010066439816531</c:v>
                </c:pt>
                <c:pt idx="3">
                  <c:v>9.7943763932264769E-2</c:v>
                </c:pt>
                <c:pt idx="4">
                  <c:v>9.4041611375225709E-2</c:v>
                </c:pt>
                <c:pt idx="5">
                  <c:v>5.9676113903441866E-2</c:v>
                </c:pt>
              </c:numCache>
            </c:numRef>
          </c:val>
          <c:extLst>
            <c:ext xmlns:c16="http://schemas.microsoft.com/office/drawing/2014/chart" uri="{C3380CC4-5D6E-409C-BE32-E72D297353CC}">
              <c16:uniqueId val="{00000000-D529-4767-97E4-460206FDF8BA}"/>
            </c:ext>
          </c:extLst>
        </c:ser>
        <c:dLbls>
          <c:showLegendKey val="0"/>
          <c:showVal val="0"/>
          <c:showCatName val="0"/>
          <c:showSerName val="0"/>
          <c:showPercent val="0"/>
          <c:showBubbleSize val="0"/>
        </c:dLbls>
        <c:gapWidth val="124"/>
        <c:overlap val="-27"/>
        <c:axId val="424023360"/>
        <c:axId val="424018784"/>
      </c:barChart>
      <c:catAx>
        <c:axId val="42402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ar-EG"/>
          </a:p>
        </c:txPr>
        <c:crossAx val="424018784"/>
        <c:crosses val="autoZero"/>
        <c:auto val="1"/>
        <c:lblAlgn val="ctr"/>
        <c:lblOffset val="100"/>
        <c:noMultiLvlLbl val="0"/>
      </c:catAx>
      <c:valAx>
        <c:axId val="424018784"/>
        <c:scaling>
          <c:orientation val="minMax"/>
        </c:scaling>
        <c:delete val="0"/>
        <c:axPos val="l"/>
        <c:majorGridlines>
          <c:spPr>
            <a:ln w="9525" cap="flat" cmpd="sng" algn="ctr">
              <a:solidFill>
                <a:schemeClr val="bg1">
                  <a:lumMod val="75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4240233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18900000" algn="bl" rotWithShape="0">
        <a:prstClr val="black">
          <a:alpha val="40000"/>
        </a:prstClr>
      </a:outerShdw>
    </a:effectLst>
  </c:spPr>
  <c:txPr>
    <a:bodyPr/>
    <a:lstStyle/>
    <a:p>
      <a:pPr>
        <a:defRPr/>
      </a:pPr>
      <a:endParaRPr lang="ar-E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lumMod val="75000"/>
              </a:schemeClr>
            </a:solidFill>
            <a:ln>
              <a:noFill/>
            </a:ln>
            <a:effectLst>
              <a:outerShdw blurRad="50800" dist="38100" dir="18900000" algn="bl" rotWithShape="0">
                <a:prstClr val="black">
                  <a:alpha val="40000"/>
                </a:prstClr>
              </a:outerShdw>
            </a:effectLst>
          </c:spPr>
          <c:invertIfNegative val="0"/>
          <c:cat>
            <c:strRef>
              <c:f>('PIVOT TABLE'!$BH$32:$BH$33,'PIVOT TABLE'!$BH$35)</c:f>
              <c:strCache>
                <c:ptCount val="3"/>
                <c:pt idx="0">
                  <c:v>أسود</c:v>
                </c:pt>
                <c:pt idx="1">
                  <c:v>أبيض</c:v>
                </c:pt>
                <c:pt idx="2">
                  <c:v>رمادى</c:v>
                </c:pt>
              </c:strCache>
            </c:strRef>
          </c:cat>
          <c:val>
            <c:numRef>
              <c:f>('PIVOT TABLE'!$BI$32:$BI$33,'PIVOT TABLE'!$BI$35)</c:f>
              <c:numCache>
                <c:formatCode>0%</c:formatCode>
                <c:ptCount val="3"/>
                <c:pt idx="0">
                  <c:v>0.36382066709541461</c:v>
                </c:pt>
                <c:pt idx="1">
                  <c:v>0.26675834737224724</c:v>
                </c:pt>
                <c:pt idx="2">
                  <c:v>5.6897913711684081E-2</c:v>
                </c:pt>
              </c:numCache>
            </c:numRef>
          </c:val>
          <c:extLst>
            <c:ext xmlns:c16="http://schemas.microsoft.com/office/drawing/2014/chart" uri="{C3380CC4-5D6E-409C-BE32-E72D297353CC}">
              <c16:uniqueId val="{00000000-17CD-4770-8246-88892F10206B}"/>
            </c:ext>
          </c:extLst>
        </c:ser>
        <c:dLbls>
          <c:showLegendKey val="0"/>
          <c:showVal val="0"/>
          <c:showCatName val="0"/>
          <c:showSerName val="0"/>
          <c:showPercent val="0"/>
          <c:showBubbleSize val="0"/>
        </c:dLbls>
        <c:gapWidth val="182"/>
        <c:axId val="132728575"/>
        <c:axId val="132726911"/>
      </c:barChart>
      <c:catAx>
        <c:axId val="13272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EG"/>
          </a:p>
        </c:txPr>
        <c:crossAx val="132726911"/>
        <c:crosses val="autoZero"/>
        <c:auto val="1"/>
        <c:lblAlgn val="ctr"/>
        <c:lblOffset val="100"/>
        <c:noMultiLvlLbl val="0"/>
      </c:catAx>
      <c:valAx>
        <c:axId val="132726911"/>
        <c:scaling>
          <c:orientation val="minMax"/>
        </c:scaling>
        <c:delete val="0"/>
        <c:axPos val="b"/>
        <c:majorGridlines>
          <c:spPr>
            <a:ln w="9525" cap="flat" cmpd="sng" algn="ctr">
              <a:solidFill>
                <a:schemeClr val="bg1">
                  <a:lumMod val="75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ar-EG"/>
          </a:p>
        </c:txPr>
        <c:crossAx val="13272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Arial Black" panose="020B0A04020102020204" pitchFamily="34" charset="0"/>
              </a:rPr>
              <a:t>Sales By Blatform</a:t>
            </a:r>
          </a:p>
        </c:rich>
      </c:tx>
      <c:layout>
        <c:manualLayout>
          <c:xMode val="edge"/>
          <c:yMode val="edge"/>
          <c:x val="0.41656158049600672"/>
          <c:y val="0.1711788018529556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C99B-442D-B1C0-66468C34A970}"/>
            </c:ext>
          </c:extLst>
        </c:ser>
        <c:dLbls>
          <c:dLblPos val="inBase"/>
          <c:showLegendKey val="0"/>
          <c:showVal val="1"/>
          <c:showCatName val="0"/>
          <c:showSerName val="0"/>
          <c:showPercent val="0"/>
          <c:showBubbleSize val="0"/>
        </c:dLbls>
        <c:gapWidth val="150"/>
        <c:overlap val="100"/>
        <c:axId val="827717663"/>
        <c:axId val="827715743"/>
      </c:barChart>
      <c:catAx>
        <c:axId val="827717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827715743"/>
        <c:crosses val="autoZero"/>
        <c:auto val="1"/>
        <c:lblAlgn val="ctr"/>
        <c:lblOffset val="100"/>
        <c:noMultiLvlLbl val="0"/>
      </c:catAx>
      <c:valAx>
        <c:axId val="827715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82771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B49"/>
    </a:solidFill>
    <a:ln>
      <a:noFill/>
    </a:ln>
    <a:effectLst/>
  </c:spPr>
  <c:txPr>
    <a:bodyPr/>
    <a:lstStyle/>
    <a:p>
      <a:pPr>
        <a:defRPr/>
      </a:pPr>
      <a:endParaRPr lang="ar-EG"/>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Bast</a:t>
            </a:r>
            <a:r>
              <a:rPr lang="en-US" baseline="0">
                <a:solidFill>
                  <a:schemeClr val="bg1"/>
                </a:solidFill>
                <a:latin typeface="Arial Black" panose="020B0A04020102020204" pitchFamily="34" charset="0"/>
              </a:rPr>
              <a:t> Saler</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182B49"/>
        </a:solidFill>
        <a:ln>
          <a:noFill/>
        </a:ln>
        <a:effectLst/>
        <a:sp3d/>
      </c:spPr>
    </c:sideWall>
    <c:backWall>
      <c:thickness val="0"/>
      <c:spPr>
        <a:solidFill>
          <a:srgbClr val="182B49"/>
        </a:solidFill>
        <a:ln>
          <a:noFill/>
        </a:ln>
        <a:effectLst/>
        <a:sp3d/>
      </c:spPr>
    </c:backWall>
    <c:plotArea>
      <c:layout>
        <c:manualLayout>
          <c:layoutTarget val="inner"/>
          <c:xMode val="edge"/>
          <c:yMode val="edge"/>
          <c:x val="0.14930291806239171"/>
          <c:y val="0.23895823786277237"/>
          <c:w val="0.84971772002270829"/>
          <c:h val="0.62541517858833595"/>
        </c:manualLayout>
      </c:layout>
      <c:bar3DChart>
        <c:barDir val="col"/>
        <c:grouping val="cluster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B523-46D3-B428-AB72EF5E5357}"/>
            </c:ext>
          </c:extLst>
        </c:ser>
        <c:dLbls>
          <c:showLegendKey val="0"/>
          <c:showVal val="1"/>
          <c:showCatName val="0"/>
          <c:showSerName val="0"/>
          <c:showPercent val="0"/>
          <c:showBubbleSize val="0"/>
        </c:dLbls>
        <c:gapWidth val="150"/>
        <c:shape val="box"/>
        <c:axId val="826198207"/>
        <c:axId val="826199647"/>
        <c:axId val="0"/>
      </c:bar3DChart>
      <c:catAx>
        <c:axId val="826198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826199647"/>
        <c:crosses val="autoZero"/>
        <c:auto val="1"/>
        <c:lblAlgn val="ctr"/>
        <c:lblOffset val="100"/>
        <c:noMultiLvlLbl val="0"/>
      </c:catAx>
      <c:valAx>
        <c:axId val="826199647"/>
        <c:scaling>
          <c:orientation val="minMax"/>
        </c:scaling>
        <c:delete val="1"/>
        <c:axPos val="l"/>
        <c:numFmt formatCode="General" sourceLinked="1"/>
        <c:majorTickMark val="none"/>
        <c:minorTickMark val="none"/>
        <c:tickLblPos val="nextTo"/>
        <c:crossAx val="82619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B49"/>
    </a:solid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latin typeface="Arial Black" panose="020B0A04020102020204" pitchFamily="34" charset="0"/>
              </a:rPr>
              <a:t>Best</a:t>
            </a:r>
            <a:r>
              <a:rPr lang="en-US" sz="1600" baseline="0">
                <a:solidFill>
                  <a:schemeClr val="bg1"/>
                </a:solidFill>
                <a:latin typeface="Arial Black" panose="020B0A04020102020204" pitchFamily="34" charset="0"/>
              </a:rPr>
              <a:t> Color</a:t>
            </a:r>
            <a:endParaRPr lang="en-US" sz="16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25105338363313E-2"/>
          <c:y val="0.13050984788646264"/>
          <c:w val="0.92666685712023178"/>
          <c:h val="0.74758478355033509"/>
        </c:manualLayout>
      </c:layout>
      <c:barChart>
        <c:barDir val="bar"/>
        <c:grouping val="clustered"/>
        <c:varyColors val="0"/>
        <c:ser>
          <c:idx val="0"/>
          <c:order val="0"/>
          <c:tx>
            <c:v>Total</c:v>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8785-4C7D-B442-B335A05F294A}"/>
            </c:ext>
          </c:extLst>
        </c:ser>
        <c:dLbls>
          <c:showLegendKey val="0"/>
          <c:showVal val="0"/>
          <c:showCatName val="0"/>
          <c:showSerName val="0"/>
          <c:showPercent val="0"/>
          <c:showBubbleSize val="0"/>
        </c:dLbls>
        <c:gapWidth val="182"/>
        <c:axId val="1018848815"/>
        <c:axId val="1018840655"/>
      </c:barChart>
      <c:catAx>
        <c:axId val="101884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018840655"/>
        <c:crosses val="autoZero"/>
        <c:auto val="1"/>
        <c:lblAlgn val="ctr"/>
        <c:lblOffset val="100"/>
        <c:noMultiLvlLbl val="0"/>
      </c:catAx>
      <c:valAx>
        <c:axId val="101884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01884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B49"/>
    </a:solid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On-time Delivery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8435171745546"/>
          <c:y val="0.14313833148070851"/>
          <c:w val="0.74008635784350885"/>
          <c:h val="0.74110865274072146"/>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
              <c:pt idx="0">
                <c:v>لاغي</c:v>
              </c:pt>
            </c:strLit>
          </c:cat>
          <c:val>
            <c:numLit>
              <c:formatCode>General</c:formatCode>
              <c:ptCount val="1"/>
              <c:pt idx="0">
                <c:v>1</c:v>
              </c:pt>
            </c:numLit>
          </c:val>
          <c:smooth val="0"/>
          <c:extLst>
            <c:ext xmlns:c16="http://schemas.microsoft.com/office/drawing/2014/chart" uri="{C3380CC4-5D6E-409C-BE32-E72D297353CC}">
              <c16:uniqueId val="{00000000-8346-422A-9163-929165528333}"/>
            </c:ext>
          </c:extLst>
        </c:ser>
        <c:dLbls>
          <c:showLegendKey val="0"/>
          <c:showVal val="0"/>
          <c:showCatName val="0"/>
          <c:showSerName val="0"/>
          <c:showPercent val="0"/>
          <c:showBubbleSize val="0"/>
        </c:dLbls>
        <c:marker val="1"/>
        <c:smooth val="0"/>
        <c:axId val="890858895"/>
        <c:axId val="890856975"/>
      </c:lineChart>
      <c:catAx>
        <c:axId val="890858895"/>
        <c:scaling>
          <c:orientation val="minMax"/>
        </c:scaling>
        <c:delete val="0"/>
        <c:axPos val="b"/>
        <c:numFmt formatCode="General" sourceLinked="1"/>
        <c:majorTickMark val="none"/>
        <c:minorTickMark val="none"/>
        <c:tickLblPos val="nextTo"/>
        <c:spPr>
          <a:solidFill>
            <a:srgbClr val="002D62"/>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890856975"/>
        <c:crosses val="autoZero"/>
        <c:auto val="1"/>
        <c:lblAlgn val="ctr"/>
        <c:lblOffset val="100"/>
        <c:noMultiLvlLbl val="0"/>
      </c:catAx>
      <c:valAx>
        <c:axId val="89085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8908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B49"/>
    </a:solid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AU" sz="900">
                <a:solidFill>
                  <a:schemeClr val="bg1"/>
                </a:solidFill>
                <a:latin typeface="Arial Black" panose="020B0A04020102020204" pitchFamily="34" charset="0"/>
                <a:cs typeface="Arial" panose="020B0604020202020204" pitchFamily="34" charset="0"/>
              </a:rPr>
              <a:t>Total Delivery Status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851869151949225"/>
          <c:y val="0.43001339301765362"/>
          <c:w val="0.40166815233001535"/>
          <c:h val="0.65301877526045438"/>
        </c:manualLayout>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733-4D1A-93C7-EA9DF3422EAD}"/>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733-4D1A-93C7-EA9DF3422EAD}"/>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733-4D1A-93C7-EA9DF3422EAD}"/>
              </c:ext>
            </c:extLst>
          </c:dPt>
          <c:dPt>
            <c:idx val="3"/>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733-4D1A-93C7-EA9DF3422E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8-1733-4D1A-93C7-EA9DF3422EA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B49"/>
    </a:solid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800">
                <a:solidFill>
                  <a:schemeClr val="bg1"/>
                </a:solidFill>
                <a:latin typeface="Arial Black" panose="020B0A04020102020204" pitchFamily="34" charset="0"/>
              </a:rPr>
              <a:t>Best</a:t>
            </a:r>
            <a:r>
              <a:rPr lang="en-AU" sz="1800" baseline="0">
                <a:solidFill>
                  <a:schemeClr val="bg1"/>
                </a:solidFill>
                <a:latin typeface="Arial Black" panose="020B0A04020102020204" pitchFamily="34" charset="0"/>
              </a:rPr>
              <a:t> Area</a:t>
            </a:r>
            <a:endParaRPr lang="en-AU" sz="18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3272366694717"/>
          <c:y val="0.25544232712425918"/>
          <c:w val="0.73826591497989913"/>
          <c:h val="0.3355531418914976"/>
        </c:manualLayout>
      </c:layout>
      <c:barChart>
        <c:barDir val="col"/>
        <c:grouping val="stacked"/>
        <c:varyColors val="0"/>
        <c:ser>
          <c:idx val="0"/>
          <c:order val="0"/>
          <c:tx>
            <c:v>Total</c:v>
          </c:tx>
          <c:spPr>
            <a:solidFill>
              <a:schemeClr val="accent1"/>
            </a:solidFill>
            <a:ln>
              <a:noFill/>
            </a:ln>
            <a:effectLst/>
          </c:spPr>
          <c:invertIfNegative val="0"/>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8444-46C5-96CF-959546A6F445}"/>
            </c:ext>
          </c:extLst>
        </c:ser>
        <c:dLbls>
          <c:showLegendKey val="0"/>
          <c:showVal val="0"/>
          <c:showCatName val="0"/>
          <c:showSerName val="0"/>
          <c:showPercent val="0"/>
          <c:showBubbleSize val="0"/>
        </c:dLbls>
        <c:gapWidth val="150"/>
        <c:overlap val="100"/>
        <c:axId val="1090059791"/>
        <c:axId val="1090060271"/>
      </c:barChart>
      <c:catAx>
        <c:axId val="109005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090060271"/>
        <c:crosses val="autoZero"/>
        <c:auto val="1"/>
        <c:lblAlgn val="ctr"/>
        <c:lblOffset val="100"/>
        <c:noMultiLvlLbl val="0"/>
      </c:catAx>
      <c:valAx>
        <c:axId val="1090060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09005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B49"/>
    </a:solid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solidFill>
                  <a:schemeClr val="bg1"/>
                </a:solidFill>
              </a:rPr>
              <a:t>عدد</a:t>
            </a:r>
            <a:r>
              <a:rPr lang="ar-EG" baseline="0">
                <a:solidFill>
                  <a:schemeClr val="bg1"/>
                </a:solidFill>
              </a:rPr>
              <a:t> الافراد والشركات المتعاقده مع مسيو</a:t>
            </a:r>
            <a:endParaRPr lang="en-US">
              <a:solidFill>
                <a:schemeClr val="bg1"/>
              </a:solidFill>
            </a:endParaRPr>
          </a:p>
        </c:rich>
      </c:tx>
      <c:layout>
        <c:manualLayout>
          <c:xMode val="edge"/>
          <c:yMode val="edge"/>
          <c:x val="0.46395010907718137"/>
          <c:y val="8.2493540806902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6560502807105"/>
          <c:y val="0.24476633129192185"/>
          <c:w val="0.77332015112460717"/>
          <c:h val="0.33346165062700495"/>
        </c:manualLayout>
      </c:layout>
      <c:lineChart>
        <c:grouping val="standard"/>
        <c:varyColors val="0"/>
        <c:ser>
          <c:idx val="0"/>
          <c:order val="0"/>
          <c:tx>
            <c:v>Total</c:v>
          </c:tx>
          <c:spPr>
            <a:ln w="28575" cap="rnd">
              <a:solidFill>
                <a:schemeClr val="accent1"/>
              </a:solidFill>
              <a:round/>
            </a:ln>
            <a:effectLst/>
          </c:spPr>
          <c:marker>
            <c:symbol val="none"/>
          </c:marker>
          <c:cat>
            <c:strLit>
              <c:ptCount val="1"/>
              <c:pt idx="0">
                <c:v>Grand Total</c:v>
              </c:pt>
            </c:strLit>
          </c:cat>
          <c:val>
            <c:numLit>
              <c:formatCode>General</c:formatCode>
              <c:ptCount val="1"/>
              <c:pt idx="0">
                <c:v>0</c:v>
              </c:pt>
            </c:numLit>
          </c:val>
          <c:smooth val="0"/>
          <c:extLst>
            <c:ext xmlns:c16="http://schemas.microsoft.com/office/drawing/2014/chart" uri="{C3380CC4-5D6E-409C-BE32-E72D297353CC}">
              <c16:uniqueId val="{00000000-9283-4393-9F7E-6D77B5DBFA6E}"/>
            </c:ext>
          </c:extLst>
        </c:ser>
        <c:dLbls>
          <c:showLegendKey val="0"/>
          <c:showVal val="0"/>
          <c:showCatName val="0"/>
          <c:showSerName val="0"/>
          <c:showPercent val="0"/>
          <c:showBubbleSize val="0"/>
        </c:dLbls>
        <c:smooth val="0"/>
        <c:axId val="789725391"/>
        <c:axId val="789719631"/>
      </c:lineChart>
      <c:catAx>
        <c:axId val="78972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789719631"/>
        <c:crosses val="autoZero"/>
        <c:auto val="1"/>
        <c:lblAlgn val="ctr"/>
        <c:lblOffset val="100"/>
        <c:noMultiLvlLbl val="0"/>
      </c:catAx>
      <c:valAx>
        <c:axId val="789719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78972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B49"/>
    </a:solidFill>
    <a:ln w="9525" cap="flat" cmpd="sng" algn="ctr">
      <a:noFill/>
      <a:round/>
    </a:ln>
    <a:effectLst/>
  </c:spPr>
  <c:txPr>
    <a:bodyPr/>
    <a:lstStyle/>
    <a:p>
      <a:pPr>
        <a:defRPr/>
      </a:pPr>
      <a:endParaRPr lang="ar-E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1"/></Relationships>
</file>

<file path=xl/drawings/_rels/drawing2.xml.rels><?xml version="1.0" encoding="UTF-8" standalone="yes"?>
<Relationships xmlns="http://schemas.openxmlformats.org/package/2006/relationships"><Relationship Id="rId8" Type="http://schemas.openxmlformats.org/officeDocument/2006/relationships/hyperlink" Target="#'Data - Cleaned'!A1"/><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image" Target="../media/image1.jpg"/><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22</xdr:col>
      <xdr:colOff>310383</xdr:colOff>
      <xdr:row>0</xdr:row>
      <xdr:rowOff>75129</xdr:rowOff>
    </xdr:from>
    <xdr:to>
      <xdr:col>26</xdr:col>
      <xdr:colOff>75941</xdr:colOff>
      <xdr:row>6</xdr:row>
      <xdr:rowOff>33195</xdr:rowOff>
    </xdr:to>
    <xdr:sp macro="" textlink="">
      <xdr:nvSpPr>
        <xdr:cNvPr id="2" name="Arrow: Right 1">
          <a:extLst>
            <a:ext uri="{FF2B5EF4-FFF2-40B4-BE49-F238E27FC236}">
              <a16:creationId xmlns:a16="http://schemas.microsoft.com/office/drawing/2014/main" id="{CBFAF5AB-F654-4921-859D-610EBCA816AF}"/>
            </a:ext>
          </a:extLst>
        </xdr:cNvPr>
        <xdr:cNvSpPr/>
      </xdr:nvSpPr>
      <xdr:spPr>
        <a:xfrm>
          <a:off x="10756883824" y="75129"/>
          <a:ext cx="2395205" cy="1511948"/>
        </a:xfrm>
        <a:prstGeom prst="rightArrow">
          <a:avLst/>
        </a:prstGeom>
        <a:solidFill>
          <a:srgbClr val="D4AF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23</xdr:col>
      <xdr:colOff>413349</xdr:colOff>
      <xdr:row>1</xdr:row>
      <xdr:rowOff>143774</xdr:rowOff>
    </xdr:from>
    <xdr:to>
      <xdr:col>25</xdr:col>
      <xdr:colOff>527170</xdr:colOff>
      <xdr:row>4</xdr:row>
      <xdr:rowOff>59906</xdr:rowOff>
    </xdr:to>
    <xdr:sp macro="" textlink="">
      <xdr:nvSpPr>
        <xdr:cNvPr id="7" name="Rectangle: Rounded Corners 6">
          <a:extLst>
            <a:ext uri="{FF2B5EF4-FFF2-40B4-BE49-F238E27FC236}">
              <a16:creationId xmlns:a16="http://schemas.microsoft.com/office/drawing/2014/main" id="{9A2965B8-BB26-44C9-A042-5A25B91A08B3}"/>
            </a:ext>
          </a:extLst>
        </xdr:cNvPr>
        <xdr:cNvSpPr/>
      </xdr:nvSpPr>
      <xdr:spPr>
        <a:xfrm>
          <a:off x="10778118585" y="431321"/>
          <a:ext cx="1431745" cy="419340"/>
        </a:xfrm>
        <a:prstGeom prst="roundRect">
          <a:avLst>
            <a:gd name="adj" fmla="val 36333"/>
          </a:avLst>
        </a:prstGeom>
        <a:solidFill>
          <a:schemeClr val="bg1">
            <a:lumMod val="50000"/>
          </a:schemeClr>
        </a:solidFill>
        <a:ln>
          <a:solidFill>
            <a:schemeClr val="bg1">
              <a:lumMod val="85000"/>
            </a:schemeClr>
          </a:solidFill>
        </a:ln>
        <a:effectLst>
          <a:outerShdw blurRad="114300" dist="152400" dir="3600000" sx="101000" sy="101000" algn="tl" rotWithShape="0">
            <a:prstClr val="black">
              <a:alpha val="3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rtl="1"/>
          <a:endParaRPr lang="ar-EG" sz="1100">
            <a:solidFill>
              <a:schemeClr val="lt1"/>
            </a:solidFill>
            <a:latin typeface="+mn-lt"/>
            <a:ea typeface="+mn-ea"/>
            <a:cs typeface="+mn-cs"/>
          </a:endParaRPr>
        </a:p>
      </xdr:txBody>
    </xdr:sp>
    <xdr:clientData/>
  </xdr:twoCellAnchor>
  <xdr:oneCellAnchor>
    <xdr:from>
      <xdr:col>23</xdr:col>
      <xdr:colOff>524482</xdr:colOff>
      <xdr:row>1</xdr:row>
      <xdr:rowOff>207897</xdr:rowOff>
    </xdr:from>
    <xdr:ext cx="1394426" cy="336054"/>
    <xdr:sp macro="" textlink="">
      <xdr:nvSpPr>
        <xdr:cNvPr id="3" name="TextBox 2">
          <a:hlinkClick xmlns:r="http://schemas.openxmlformats.org/officeDocument/2006/relationships" r:id="rId1"/>
          <a:extLst>
            <a:ext uri="{FF2B5EF4-FFF2-40B4-BE49-F238E27FC236}">
              <a16:creationId xmlns:a16="http://schemas.microsoft.com/office/drawing/2014/main" id="{9438FA98-740F-4FB5-BC7D-B4BDAD34A4B0}"/>
            </a:ext>
          </a:extLst>
        </xdr:cNvPr>
        <xdr:cNvSpPr txBox="1"/>
      </xdr:nvSpPr>
      <xdr:spPr>
        <a:xfrm>
          <a:off x="10778044771" y="495444"/>
          <a:ext cx="1394426"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chemeClr val="bg1"/>
              </a:solidFill>
              <a:latin typeface="Footlight MT Light" panose="0204060206030A020304" pitchFamily="18" charset="0"/>
              <a:ea typeface="+mn-ea"/>
              <a:cs typeface="+mn-cs"/>
            </a:rPr>
            <a:t>Data</a:t>
          </a:r>
          <a:r>
            <a:rPr lang="en-US" sz="1800" b="0" i="1" baseline="0">
              <a:solidFill>
                <a:schemeClr val="bg1"/>
              </a:solidFill>
              <a:latin typeface="Footlight MT Light" panose="0204060206030A020304" pitchFamily="18" charset="0"/>
              <a:ea typeface="+mn-ea"/>
              <a:cs typeface="+mn-cs"/>
            </a:rPr>
            <a:t> </a:t>
          </a:r>
          <a:endParaRPr lang="en-US" sz="1800" b="0" i="1">
            <a:solidFill>
              <a:schemeClr val="bg1"/>
            </a:solidFill>
            <a:latin typeface="Footlight MT Light" panose="0204060206030A020304" pitchFamily="18" charset="0"/>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37705</xdr:colOff>
      <xdr:row>0</xdr:row>
      <xdr:rowOff>0</xdr:rowOff>
    </xdr:from>
    <xdr:to>
      <xdr:col>16</xdr:col>
      <xdr:colOff>57863</xdr:colOff>
      <xdr:row>30</xdr:row>
      <xdr:rowOff>90984</xdr:rowOff>
    </xdr:to>
    <xdr:sp macro="" textlink="">
      <xdr:nvSpPr>
        <xdr:cNvPr id="2" name="Rectangle: Rounded Corners 1">
          <a:extLst>
            <a:ext uri="{FF2B5EF4-FFF2-40B4-BE49-F238E27FC236}">
              <a16:creationId xmlns:a16="http://schemas.microsoft.com/office/drawing/2014/main" id="{41FE7544-1910-4891-B982-7EEF17D95DC6}"/>
            </a:ext>
          </a:extLst>
        </xdr:cNvPr>
        <xdr:cNvSpPr/>
      </xdr:nvSpPr>
      <xdr:spPr>
        <a:xfrm>
          <a:off x="37705" y="0"/>
          <a:ext cx="10561158" cy="5329734"/>
        </a:xfrm>
        <a:prstGeom prst="roundRect">
          <a:avLst>
            <a:gd name="adj" fmla="val 10423"/>
          </a:avLst>
        </a:prstGeom>
        <a:solidFill>
          <a:schemeClr val="bg1">
            <a:lumMod val="50000"/>
          </a:schemeClr>
        </a:solidFill>
        <a:ln>
          <a:solidFill>
            <a:schemeClr val="bg1">
              <a:lumMod val="85000"/>
            </a:schemeClr>
          </a:solidFill>
        </a:ln>
        <a:effectLst>
          <a:outerShdw blurRad="114300" dist="152400" dir="3600000" sx="101000" sy="101000" algn="tl" rotWithShape="0">
            <a:prstClr val="black">
              <a:alpha val="3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0</xdr:colOff>
      <xdr:row>24</xdr:row>
      <xdr:rowOff>13452</xdr:rowOff>
    </xdr:from>
    <xdr:to>
      <xdr:col>16</xdr:col>
      <xdr:colOff>149492</xdr:colOff>
      <xdr:row>31</xdr:row>
      <xdr:rowOff>156688</xdr:rowOff>
    </xdr:to>
    <xdr:sp macro="" textlink="">
      <xdr:nvSpPr>
        <xdr:cNvPr id="3" name="Rectangle: Rounded Corners 2">
          <a:extLst>
            <a:ext uri="{FF2B5EF4-FFF2-40B4-BE49-F238E27FC236}">
              <a16:creationId xmlns:a16="http://schemas.microsoft.com/office/drawing/2014/main" id="{D3D7B6C5-90FB-49FC-BFB6-C517048DCE2D}"/>
            </a:ext>
          </a:extLst>
        </xdr:cNvPr>
        <xdr:cNvSpPr/>
      </xdr:nvSpPr>
      <xdr:spPr>
        <a:xfrm rot="5400000">
          <a:off x="4646050" y="-278312"/>
          <a:ext cx="1413236" cy="10705336"/>
        </a:xfrm>
        <a:prstGeom prst="roundRect">
          <a:avLst>
            <a:gd name="adj" fmla="val 36628"/>
          </a:avLst>
        </a:prstGeom>
        <a:solidFill>
          <a:schemeClr val="accent3">
            <a:lumMod val="50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9</xdr:col>
      <xdr:colOff>614382</xdr:colOff>
      <xdr:row>24</xdr:row>
      <xdr:rowOff>70096</xdr:rowOff>
    </xdr:from>
    <xdr:to>
      <xdr:col>14</xdr:col>
      <xdr:colOff>420584</xdr:colOff>
      <xdr:row>31</xdr:row>
      <xdr:rowOff>107207</xdr:rowOff>
    </xdr:to>
    <mc:AlternateContent xmlns:mc="http://schemas.openxmlformats.org/markup-compatibility/2006" xmlns:a14="http://schemas.microsoft.com/office/drawing/2010/main">
      <mc:Choice Requires="a14">
        <xdr:graphicFrame macro="">
          <xdr:nvGraphicFramePr>
            <xdr:cNvPr id="136" name="الحاله">
              <a:extLst>
                <a:ext uri="{FF2B5EF4-FFF2-40B4-BE49-F238E27FC236}">
                  <a16:creationId xmlns:a16="http://schemas.microsoft.com/office/drawing/2014/main" id="{EA61DBA5-CE48-4DCD-B20D-471021A0DEC4}"/>
                </a:ext>
              </a:extLst>
            </xdr:cNvPr>
            <xdr:cNvGraphicFramePr/>
          </xdr:nvGraphicFramePr>
          <xdr:xfrm>
            <a:off x="0" y="0"/>
            <a:ext cx="0" cy="0"/>
          </xdr:xfrm>
          <a:graphic>
            <a:graphicData uri="http://schemas.microsoft.com/office/drawing/2010/slicer">
              <sle:slicer xmlns:sle="http://schemas.microsoft.com/office/drawing/2010/slicer" name="الحاله"/>
            </a:graphicData>
          </a:graphic>
        </xdr:graphicFrame>
      </mc:Choice>
      <mc:Fallback xmlns="">
        <xdr:sp macro="" textlink="">
          <xdr:nvSpPr>
            <xdr:cNvPr id="0" name=""/>
            <xdr:cNvSpPr>
              <a:spLocks noTextEdit="1"/>
            </xdr:cNvSpPr>
          </xdr:nvSpPr>
          <xdr:spPr>
            <a:xfrm>
              <a:off x="6552044" y="4424382"/>
              <a:ext cx="3104904" cy="130711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172663</xdr:colOff>
      <xdr:row>24</xdr:row>
      <xdr:rowOff>59400</xdr:rowOff>
    </xdr:from>
    <xdr:to>
      <xdr:col>16</xdr:col>
      <xdr:colOff>137061</xdr:colOff>
      <xdr:row>31</xdr:row>
      <xdr:rowOff>131949</xdr:rowOff>
    </xdr:to>
    <xdr:pic>
      <xdr:nvPicPr>
        <xdr:cNvPr id="4" name="Picture 3">
          <a:extLst>
            <a:ext uri="{FF2B5EF4-FFF2-40B4-BE49-F238E27FC236}">
              <a16:creationId xmlns:a16="http://schemas.microsoft.com/office/drawing/2014/main" id="{4E57B20A-77BF-44B6-BB87-B926BD276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09027" y="4413686"/>
          <a:ext cx="1283878" cy="134254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12</xdr:col>
      <xdr:colOff>651776</xdr:colOff>
      <xdr:row>7</xdr:row>
      <xdr:rowOff>178720</xdr:rowOff>
    </xdr:from>
    <xdr:to>
      <xdr:col>15</xdr:col>
      <xdr:colOff>631533</xdr:colOff>
      <xdr:row>22</xdr:row>
      <xdr:rowOff>73348</xdr:rowOff>
    </xdr:to>
    <xdr:sp macro="" textlink="">
      <xdr:nvSpPr>
        <xdr:cNvPr id="116" name="Rectangle: Rounded Corners 115">
          <a:extLst>
            <a:ext uri="{FF2B5EF4-FFF2-40B4-BE49-F238E27FC236}">
              <a16:creationId xmlns:a16="http://schemas.microsoft.com/office/drawing/2014/main" id="{37474364-E6B6-4130-8445-F277F276B122}"/>
            </a:ext>
          </a:extLst>
        </xdr:cNvPr>
        <xdr:cNvSpPr/>
      </xdr:nvSpPr>
      <xdr:spPr>
        <a:xfrm>
          <a:off x="8568659" y="1448720"/>
          <a:ext cx="1958978" cy="2616057"/>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13</xdr:col>
      <xdr:colOff>115454</xdr:colOff>
      <xdr:row>8</xdr:row>
      <xdr:rowOff>98959</xdr:rowOff>
    </xdr:from>
    <xdr:to>
      <xdr:col>15</xdr:col>
      <xdr:colOff>618505</xdr:colOff>
      <xdr:row>16</xdr:row>
      <xdr:rowOff>173182</xdr:rowOff>
    </xdr:to>
    <xdr:graphicFrame macro="">
      <xdr:nvGraphicFramePr>
        <xdr:cNvPr id="132" name="Chart 131">
          <a:extLst>
            <a:ext uri="{FF2B5EF4-FFF2-40B4-BE49-F238E27FC236}">
              <a16:creationId xmlns:a16="http://schemas.microsoft.com/office/drawing/2014/main" id="{948ED76D-6614-4F76-80BF-1F3989EE5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411053</xdr:colOff>
      <xdr:row>7</xdr:row>
      <xdr:rowOff>147350</xdr:rowOff>
    </xdr:from>
    <xdr:to>
      <xdr:col>12</xdr:col>
      <xdr:colOff>560170</xdr:colOff>
      <xdr:row>16</xdr:row>
      <xdr:rowOff>85143</xdr:rowOff>
    </xdr:to>
    <xdr:sp macro="" textlink="">
      <xdr:nvSpPr>
        <xdr:cNvPr id="128" name="Rectangle: Rounded Corners 127">
          <a:extLst>
            <a:ext uri="{FF2B5EF4-FFF2-40B4-BE49-F238E27FC236}">
              <a16:creationId xmlns:a16="http://schemas.microsoft.com/office/drawing/2014/main" id="{E5C935F4-F445-4D8E-ACBE-4541BD3A0DD6}"/>
            </a:ext>
          </a:extLst>
        </xdr:cNvPr>
        <xdr:cNvSpPr/>
      </xdr:nvSpPr>
      <xdr:spPr>
        <a:xfrm>
          <a:off x="3050014" y="1417350"/>
          <a:ext cx="5427039" cy="1570650"/>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4</xdr:col>
      <xdr:colOff>437078</xdr:colOff>
      <xdr:row>7</xdr:row>
      <xdr:rowOff>164936</xdr:rowOff>
    </xdr:from>
    <xdr:to>
      <xdr:col>12</xdr:col>
      <xdr:colOff>536038</xdr:colOff>
      <xdr:row>16</xdr:row>
      <xdr:rowOff>8248</xdr:rowOff>
    </xdr:to>
    <xdr:graphicFrame macro="">
      <xdr:nvGraphicFramePr>
        <xdr:cNvPr id="131" name="Chart 130">
          <a:extLst>
            <a:ext uri="{FF2B5EF4-FFF2-40B4-BE49-F238E27FC236}">
              <a16:creationId xmlns:a16="http://schemas.microsoft.com/office/drawing/2014/main" id="{D70ACEB9-4688-4E34-88C2-26C7746C0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5473</xdr:rowOff>
    </xdr:from>
    <xdr:to>
      <xdr:col>4</xdr:col>
      <xdr:colOff>257283</xdr:colOff>
      <xdr:row>21</xdr:row>
      <xdr:rowOff>125903</xdr:rowOff>
    </xdr:to>
    <xdr:sp macro="" textlink="">
      <xdr:nvSpPr>
        <xdr:cNvPr id="108" name="Rectangle: Rounded Corners 107">
          <a:extLst>
            <a:ext uri="{FF2B5EF4-FFF2-40B4-BE49-F238E27FC236}">
              <a16:creationId xmlns:a16="http://schemas.microsoft.com/office/drawing/2014/main" id="{FA1BEE67-78BA-40C4-831C-EC60E4699897}"/>
            </a:ext>
          </a:extLst>
        </xdr:cNvPr>
        <xdr:cNvSpPr/>
      </xdr:nvSpPr>
      <xdr:spPr>
        <a:xfrm>
          <a:off x="0" y="2633059"/>
          <a:ext cx="2906766" cy="1171465"/>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7937</xdr:colOff>
      <xdr:row>15</xdr:row>
      <xdr:rowOff>31750</xdr:rowOff>
    </xdr:from>
    <xdr:to>
      <xdr:col>4</xdr:col>
      <xdr:colOff>238125</xdr:colOff>
      <xdr:row>21</xdr:row>
      <xdr:rowOff>103188</xdr:rowOff>
    </xdr:to>
    <xdr:graphicFrame macro="">
      <xdr:nvGraphicFramePr>
        <xdr:cNvPr id="97" name="Chart 96">
          <a:extLst>
            <a:ext uri="{FF2B5EF4-FFF2-40B4-BE49-F238E27FC236}">
              <a16:creationId xmlns:a16="http://schemas.microsoft.com/office/drawing/2014/main" id="{893993A6-3DE1-4316-A987-F37950E19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187908</xdr:colOff>
      <xdr:row>7</xdr:row>
      <xdr:rowOff>109482</xdr:rowOff>
    </xdr:from>
    <xdr:to>
      <xdr:col>4</xdr:col>
      <xdr:colOff>257283</xdr:colOff>
      <xdr:row>14</xdr:row>
      <xdr:rowOff>87586</xdr:rowOff>
    </xdr:to>
    <xdr:sp macro="" textlink="">
      <xdr:nvSpPr>
        <xdr:cNvPr id="107" name="Rectangle: Rounded Corners 106">
          <a:extLst>
            <a:ext uri="{FF2B5EF4-FFF2-40B4-BE49-F238E27FC236}">
              <a16:creationId xmlns:a16="http://schemas.microsoft.com/office/drawing/2014/main" id="{70D208B8-66F0-48CF-AA43-E702676199C6}"/>
            </a:ext>
          </a:extLst>
        </xdr:cNvPr>
        <xdr:cNvSpPr/>
      </xdr:nvSpPr>
      <xdr:spPr>
        <a:xfrm>
          <a:off x="187908" y="1334125"/>
          <a:ext cx="2713048" cy="1202747"/>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104483</xdr:colOff>
      <xdr:row>7</xdr:row>
      <xdr:rowOff>32397</xdr:rowOff>
    </xdr:from>
    <xdr:to>
      <xdr:col>4</xdr:col>
      <xdr:colOff>302920</xdr:colOff>
      <xdr:row>14</xdr:row>
      <xdr:rowOff>142549</xdr:rowOff>
    </xdr:to>
    <xdr:graphicFrame macro="">
      <xdr:nvGraphicFramePr>
        <xdr:cNvPr id="96" name="Chart 95">
          <a:extLst>
            <a:ext uri="{FF2B5EF4-FFF2-40B4-BE49-F238E27FC236}">
              <a16:creationId xmlns:a16="http://schemas.microsoft.com/office/drawing/2014/main" id="{8470261E-FDCC-43A5-9319-377DE2156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2</xdr:col>
      <xdr:colOff>320679</xdr:colOff>
      <xdr:row>7</xdr:row>
      <xdr:rowOff>26775</xdr:rowOff>
    </xdr:to>
    <xdr:sp macro="" textlink="">
      <xdr:nvSpPr>
        <xdr:cNvPr id="5" name="Rectangle: Rounded Corners 4">
          <a:extLst>
            <a:ext uri="{FF2B5EF4-FFF2-40B4-BE49-F238E27FC236}">
              <a16:creationId xmlns:a16="http://schemas.microsoft.com/office/drawing/2014/main" id="{57F59570-B3FF-4AF0-9412-7D8C1A08084F}"/>
            </a:ext>
          </a:extLst>
        </xdr:cNvPr>
        <xdr:cNvSpPr/>
      </xdr:nvSpPr>
      <xdr:spPr>
        <a:xfrm>
          <a:off x="0" y="0"/>
          <a:ext cx="1641479" cy="1271375"/>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641479</xdr:colOff>
      <xdr:row>0</xdr:row>
      <xdr:rowOff>0</xdr:rowOff>
    </xdr:from>
    <xdr:to>
      <xdr:col>5</xdr:col>
      <xdr:colOff>301240</xdr:colOff>
      <xdr:row>7</xdr:row>
      <xdr:rowOff>26775</xdr:rowOff>
    </xdr:to>
    <xdr:sp macro="" textlink="">
      <xdr:nvSpPr>
        <xdr:cNvPr id="6" name="Rectangle: Rounded Corners 5">
          <a:extLst>
            <a:ext uri="{FF2B5EF4-FFF2-40B4-BE49-F238E27FC236}">
              <a16:creationId xmlns:a16="http://schemas.microsoft.com/office/drawing/2014/main" id="{94E37FD5-BBC8-43F1-B67F-523FBDF1ADCD}"/>
            </a:ext>
          </a:extLst>
        </xdr:cNvPr>
        <xdr:cNvSpPr/>
      </xdr:nvSpPr>
      <xdr:spPr>
        <a:xfrm>
          <a:off x="1965522" y="0"/>
          <a:ext cx="1645824" cy="1256243"/>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5</xdr:col>
      <xdr:colOff>622040</xdr:colOff>
      <xdr:row>0</xdr:row>
      <xdr:rowOff>0</xdr:rowOff>
    </xdr:from>
    <xdr:to>
      <xdr:col>8</xdr:col>
      <xdr:colOff>281801</xdr:colOff>
      <xdr:row>7</xdr:row>
      <xdr:rowOff>26775</xdr:rowOff>
    </xdr:to>
    <xdr:sp macro="" textlink="">
      <xdr:nvSpPr>
        <xdr:cNvPr id="7" name="Rectangle: Rounded Corners 6">
          <a:extLst>
            <a:ext uri="{FF2B5EF4-FFF2-40B4-BE49-F238E27FC236}">
              <a16:creationId xmlns:a16="http://schemas.microsoft.com/office/drawing/2014/main" id="{518A9048-43AD-44A8-A3C6-040C1A64D840}"/>
            </a:ext>
          </a:extLst>
        </xdr:cNvPr>
        <xdr:cNvSpPr/>
      </xdr:nvSpPr>
      <xdr:spPr>
        <a:xfrm>
          <a:off x="3915890" y="0"/>
          <a:ext cx="1636071" cy="1262818"/>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8</xdr:col>
      <xdr:colOff>343418</xdr:colOff>
      <xdr:row>0</xdr:row>
      <xdr:rowOff>97194</xdr:rowOff>
    </xdr:from>
    <xdr:to>
      <xdr:col>8</xdr:col>
      <xdr:colOff>343418</xdr:colOff>
      <xdr:row>7</xdr:row>
      <xdr:rowOff>74309</xdr:rowOff>
    </xdr:to>
    <xdr:cxnSp macro="">
      <xdr:nvCxnSpPr>
        <xdr:cNvPr id="9" name="Straight Connector 8">
          <a:extLst>
            <a:ext uri="{FF2B5EF4-FFF2-40B4-BE49-F238E27FC236}">
              <a16:creationId xmlns:a16="http://schemas.microsoft.com/office/drawing/2014/main" id="{A1C95C4C-F6D6-4413-9FE1-F26C10E26C0F}"/>
            </a:ext>
          </a:extLst>
        </xdr:cNvPr>
        <xdr:cNvCxnSpPr/>
      </xdr:nvCxnSpPr>
      <xdr:spPr>
        <a:xfrm>
          <a:off x="5646225" y="97194"/>
          <a:ext cx="0" cy="1224834"/>
        </a:xfrm>
        <a:prstGeom prst="line">
          <a:avLst/>
        </a:prstGeom>
        <a:ln w="19050">
          <a:solidFill>
            <a:schemeClr val="accent3">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0</xdr:colOff>
      <xdr:row>0</xdr:row>
      <xdr:rowOff>107778</xdr:rowOff>
    </xdr:from>
    <xdr:ext cx="1254125" cy="336054"/>
    <xdr:sp macro="" textlink="">
      <xdr:nvSpPr>
        <xdr:cNvPr id="11" name="TextBox 10">
          <a:extLst>
            <a:ext uri="{FF2B5EF4-FFF2-40B4-BE49-F238E27FC236}">
              <a16:creationId xmlns:a16="http://schemas.microsoft.com/office/drawing/2014/main" id="{7E256B71-FE06-4635-9B3B-AAC4608F847F}"/>
            </a:ext>
          </a:extLst>
        </xdr:cNvPr>
        <xdr:cNvSpPr txBox="1"/>
      </xdr:nvSpPr>
      <xdr:spPr>
        <a:xfrm>
          <a:off x="0" y="107778"/>
          <a:ext cx="1254125"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chemeClr val="bg1"/>
              </a:solidFill>
              <a:latin typeface="Footlight MT Light" panose="0204060206030A020304" pitchFamily="18" charset="0"/>
              <a:ea typeface="+mn-ea"/>
              <a:cs typeface="+mn-cs"/>
            </a:rPr>
            <a:t> total sales </a:t>
          </a:r>
        </a:p>
      </xdr:txBody>
    </xdr:sp>
    <xdr:clientData/>
  </xdr:oneCellAnchor>
  <xdr:oneCellAnchor>
    <xdr:from>
      <xdr:col>0</xdr:col>
      <xdr:colOff>0</xdr:colOff>
      <xdr:row>1</xdr:row>
      <xdr:rowOff>120385</xdr:rowOff>
    </xdr:from>
    <xdr:ext cx="1587500" cy="672185"/>
    <xdr:sp macro="" textlink="'PIVOT TABLE'!C10">
      <xdr:nvSpPr>
        <xdr:cNvPr id="12" name="TextBox 11">
          <a:extLst>
            <a:ext uri="{FF2B5EF4-FFF2-40B4-BE49-F238E27FC236}">
              <a16:creationId xmlns:a16="http://schemas.microsoft.com/office/drawing/2014/main" id="{E4B2C67B-8D59-4786-9A2B-A83D84F5BDF6}"/>
            </a:ext>
          </a:extLst>
        </xdr:cNvPr>
        <xdr:cNvSpPr txBox="1"/>
      </xdr:nvSpPr>
      <xdr:spPr>
        <a:xfrm>
          <a:off x="0" y="298979"/>
          <a:ext cx="1587500" cy="67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fld id="{1165EFD6-DEDE-4B7A-AC45-370D52C0C544}" type="TxLink">
            <a:rPr lang="en-US" sz="2400" b="1" i="0" u="none" strike="noStrike">
              <a:solidFill>
                <a:schemeClr val="bg1"/>
              </a:solidFill>
              <a:latin typeface="Baskerville Old Face" panose="02020602080505020303" pitchFamily="18" charset="0"/>
              <a:ea typeface="+mn-ea"/>
              <a:cs typeface="Arial"/>
            </a:rPr>
            <a:pPr marL="0" indent="0" algn="ctr"/>
            <a:t> 1,021,090 </a:t>
          </a:fld>
          <a:endParaRPr lang="ar-EG" sz="2400" b="1" i="0" u="none" strike="noStrike">
            <a:solidFill>
              <a:schemeClr val="bg1"/>
            </a:solidFill>
            <a:latin typeface="Baskerville Old Face" panose="02020602080505020303" pitchFamily="18" charset="0"/>
            <a:ea typeface="+mn-ea"/>
            <a:cs typeface="Arial"/>
          </a:endParaRPr>
        </a:p>
      </xdr:txBody>
    </xdr:sp>
    <xdr:clientData/>
  </xdr:oneCellAnchor>
  <xdr:oneCellAnchor>
    <xdr:from>
      <xdr:col>0</xdr:col>
      <xdr:colOff>0</xdr:colOff>
      <xdr:row>4</xdr:row>
      <xdr:rowOff>129038</xdr:rowOff>
    </xdr:from>
    <xdr:ext cx="1303957" cy="414278"/>
    <xdr:sp macro="" textlink="">
      <xdr:nvSpPr>
        <xdr:cNvPr id="13" name="TextBox 12">
          <a:extLst>
            <a:ext uri="{FF2B5EF4-FFF2-40B4-BE49-F238E27FC236}">
              <a16:creationId xmlns:a16="http://schemas.microsoft.com/office/drawing/2014/main" id="{44251228-B2C1-4F6D-9B05-C948A9433772}"/>
            </a:ext>
          </a:extLst>
        </xdr:cNvPr>
        <xdr:cNvSpPr txBox="1"/>
      </xdr:nvSpPr>
      <xdr:spPr>
        <a:xfrm>
          <a:off x="0" y="835348"/>
          <a:ext cx="1303957" cy="414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700" b="1" i="1" u="none" strike="noStrike">
              <a:solidFill>
                <a:schemeClr val="bg1">
                  <a:lumMod val="75000"/>
                </a:schemeClr>
              </a:solidFill>
              <a:latin typeface="Baskerville Old Face" panose="02020602080505020303" pitchFamily="18" charset="0"/>
              <a:ea typeface="+mn-ea"/>
              <a:cs typeface="Arial"/>
            </a:rPr>
            <a:t>TOTAL SALES FOR ALL PRODACT</a:t>
          </a:r>
        </a:p>
      </xdr:txBody>
    </xdr:sp>
    <xdr:clientData/>
  </xdr:oneCellAnchor>
  <xdr:twoCellAnchor>
    <xdr:from>
      <xdr:col>1</xdr:col>
      <xdr:colOff>645854</xdr:colOff>
      <xdr:row>5</xdr:row>
      <xdr:rowOff>59700</xdr:rowOff>
    </xdr:from>
    <xdr:to>
      <xdr:col>2</xdr:col>
      <xdr:colOff>308919</xdr:colOff>
      <xdr:row>7</xdr:row>
      <xdr:rowOff>12870</xdr:rowOff>
    </xdr:to>
    <xdr:sp macro="" textlink="">
      <xdr:nvSpPr>
        <xdr:cNvPr id="25" name="Flowchart: Connector 24">
          <a:extLst>
            <a:ext uri="{FF2B5EF4-FFF2-40B4-BE49-F238E27FC236}">
              <a16:creationId xmlns:a16="http://schemas.microsoft.com/office/drawing/2014/main" id="{0F4FDF1A-A87E-4E64-B449-F117127B23BC}"/>
            </a:ext>
          </a:extLst>
        </xdr:cNvPr>
        <xdr:cNvSpPr/>
      </xdr:nvSpPr>
      <xdr:spPr>
        <a:xfrm>
          <a:off x="1307991" y="955213"/>
          <a:ext cx="325202" cy="311375"/>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oneCellAnchor>
    <xdr:from>
      <xdr:col>2</xdr:col>
      <xdr:colOff>587376</xdr:colOff>
      <xdr:row>1</xdr:row>
      <xdr:rowOff>142876</xdr:rowOff>
    </xdr:from>
    <xdr:ext cx="1619249" cy="563562"/>
    <xdr:sp macro="" textlink="'PIVOT TABLE'!F10">
      <xdr:nvSpPr>
        <xdr:cNvPr id="29" name="TextBox 28">
          <a:extLst>
            <a:ext uri="{FF2B5EF4-FFF2-40B4-BE49-F238E27FC236}">
              <a16:creationId xmlns:a16="http://schemas.microsoft.com/office/drawing/2014/main" id="{8AC80CCA-39AE-4072-B18F-1465FF27BA33}"/>
            </a:ext>
          </a:extLst>
        </xdr:cNvPr>
        <xdr:cNvSpPr txBox="1"/>
      </xdr:nvSpPr>
      <xdr:spPr>
        <a:xfrm>
          <a:off x="1905001" y="321470"/>
          <a:ext cx="1619249" cy="563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fld id="{22F3E47E-A42D-4F67-AA84-D4C5BA996372}" type="TxLink">
            <a:rPr lang="en-US" sz="3200" b="1" i="0" u="none" strike="noStrike">
              <a:solidFill>
                <a:schemeClr val="bg1"/>
              </a:solidFill>
              <a:latin typeface="Baskerville Old Face" panose="02020602080505020303" pitchFamily="18" charset="0"/>
              <a:ea typeface="+mn-ea"/>
              <a:cs typeface="Arial"/>
            </a:rPr>
            <a:pPr marL="0" indent="0" algn="ctr"/>
            <a:t> 121 </a:t>
          </a:fld>
          <a:endParaRPr lang="ar-EG" sz="3200" b="1" i="0" u="none" strike="noStrike">
            <a:solidFill>
              <a:schemeClr val="bg1"/>
            </a:solidFill>
            <a:latin typeface="Baskerville Old Face" panose="02020602080505020303" pitchFamily="18" charset="0"/>
            <a:ea typeface="+mn-ea"/>
            <a:cs typeface="Arial"/>
          </a:endParaRPr>
        </a:p>
      </xdr:txBody>
    </xdr:sp>
    <xdr:clientData/>
  </xdr:oneCellAnchor>
  <xdr:oneCellAnchor>
    <xdr:from>
      <xdr:col>3</xdr:col>
      <xdr:colOff>56363</xdr:colOff>
      <xdr:row>4</xdr:row>
      <xdr:rowOff>166391</xdr:rowOff>
    </xdr:from>
    <xdr:ext cx="1306292" cy="414278"/>
    <xdr:sp macro="" textlink="">
      <xdr:nvSpPr>
        <xdr:cNvPr id="30" name="TextBox 29">
          <a:extLst>
            <a:ext uri="{FF2B5EF4-FFF2-40B4-BE49-F238E27FC236}">
              <a16:creationId xmlns:a16="http://schemas.microsoft.com/office/drawing/2014/main" id="{05BFE030-3A0A-4DE5-8240-34D5E1A663D2}"/>
            </a:ext>
          </a:extLst>
        </xdr:cNvPr>
        <xdr:cNvSpPr txBox="1"/>
      </xdr:nvSpPr>
      <xdr:spPr>
        <a:xfrm>
          <a:off x="2041405" y="870761"/>
          <a:ext cx="1306292" cy="414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800" b="1" i="1" u="none" strike="noStrike">
              <a:solidFill>
                <a:schemeClr val="bg1">
                  <a:lumMod val="75000"/>
                </a:schemeClr>
              </a:solidFill>
              <a:latin typeface="Baskerville Old Face" panose="02020602080505020303" pitchFamily="18" charset="0"/>
              <a:ea typeface="+mn-ea"/>
              <a:cs typeface="Arial"/>
            </a:rPr>
            <a:t>total order </a:t>
          </a:r>
          <a:r>
            <a:rPr lang="en-US" sz="700" b="1" i="1" u="none" strike="noStrike">
              <a:solidFill>
                <a:schemeClr val="bg1">
                  <a:lumMod val="75000"/>
                </a:schemeClr>
              </a:solidFill>
              <a:latin typeface="Baskerville Old Face" panose="02020602080505020303" pitchFamily="18" charset="0"/>
              <a:ea typeface="+mn-ea"/>
              <a:cs typeface="Arial"/>
            </a:rPr>
            <a:t>FOR ALL </a:t>
          </a:r>
          <a:r>
            <a:rPr lang="en-US" sz="600" b="1" i="1" u="none" strike="noStrike">
              <a:solidFill>
                <a:schemeClr val="bg1">
                  <a:lumMod val="75000"/>
                </a:schemeClr>
              </a:solidFill>
              <a:latin typeface="Baskerville Old Face" panose="02020602080505020303" pitchFamily="18" charset="0"/>
              <a:ea typeface="+mn-ea"/>
              <a:cs typeface="Arial"/>
            </a:rPr>
            <a:t>PRODACT</a:t>
          </a:r>
          <a:endParaRPr lang="en-US" sz="700" b="1" i="1" u="none" strike="noStrike">
            <a:solidFill>
              <a:schemeClr val="bg1">
                <a:lumMod val="75000"/>
              </a:schemeClr>
            </a:solidFill>
            <a:latin typeface="Baskerville Old Face" panose="02020602080505020303" pitchFamily="18" charset="0"/>
            <a:ea typeface="+mn-ea"/>
            <a:cs typeface="Arial"/>
          </a:endParaRPr>
        </a:p>
      </xdr:txBody>
    </xdr:sp>
    <xdr:clientData/>
  </xdr:oneCellAnchor>
  <xdr:twoCellAnchor>
    <xdr:from>
      <xdr:col>4</xdr:col>
      <xdr:colOff>613291</xdr:colOff>
      <xdr:row>5</xdr:row>
      <xdr:rowOff>59700</xdr:rowOff>
    </xdr:from>
    <xdr:to>
      <xdr:col>5</xdr:col>
      <xdr:colOff>295083</xdr:colOff>
      <xdr:row>7</xdr:row>
      <xdr:rowOff>19624</xdr:rowOff>
    </xdr:to>
    <xdr:sp macro="" textlink="">
      <xdr:nvSpPr>
        <xdr:cNvPr id="31" name="Flowchart: Connector 30">
          <a:extLst>
            <a:ext uri="{FF2B5EF4-FFF2-40B4-BE49-F238E27FC236}">
              <a16:creationId xmlns:a16="http://schemas.microsoft.com/office/drawing/2014/main" id="{B69676F0-4E74-4AFD-9ECF-F2720437BE7C}"/>
            </a:ext>
          </a:extLst>
        </xdr:cNvPr>
        <xdr:cNvSpPr/>
      </xdr:nvSpPr>
      <xdr:spPr>
        <a:xfrm>
          <a:off x="3261838" y="955213"/>
          <a:ext cx="343929" cy="318129"/>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oneCellAnchor>
    <xdr:from>
      <xdr:col>5</xdr:col>
      <xdr:colOff>551656</xdr:colOff>
      <xdr:row>3</xdr:row>
      <xdr:rowOff>3968</xdr:rowOff>
    </xdr:from>
    <xdr:ext cx="1627187" cy="317501"/>
    <xdr:sp macro="" textlink="'PIVOT TABLE'!L10">
      <xdr:nvSpPr>
        <xdr:cNvPr id="52" name="TextBox 51">
          <a:extLst>
            <a:ext uri="{FF2B5EF4-FFF2-40B4-BE49-F238E27FC236}">
              <a16:creationId xmlns:a16="http://schemas.microsoft.com/office/drawing/2014/main" id="{574DCF01-2DA7-4888-B8B1-BADAD66428F9}"/>
            </a:ext>
          </a:extLst>
        </xdr:cNvPr>
        <xdr:cNvSpPr txBox="1"/>
      </xdr:nvSpPr>
      <xdr:spPr>
        <a:xfrm>
          <a:off x="3845719" y="539749"/>
          <a:ext cx="1627187" cy="317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fld id="{8118F794-547D-4C49-83B5-AC062ECBE6B7}" type="TxLink">
            <a:rPr lang="en-US" sz="3200" b="1" i="0" u="none" strike="noStrike">
              <a:solidFill>
                <a:schemeClr val="bg1"/>
              </a:solidFill>
              <a:latin typeface="Baskerville Old Face" panose="02020602080505020303" pitchFamily="18" charset="0"/>
              <a:ea typeface="+mn-ea"/>
              <a:cs typeface="Arial"/>
            </a:rPr>
            <a:pPr marL="0" indent="0" algn="ctr"/>
            <a:t> 10,326 </a:t>
          </a:fld>
          <a:endParaRPr lang="ar-EG" sz="3200" b="1" i="0" u="none" strike="noStrike">
            <a:solidFill>
              <a:schemeClr val="bg1"/>
            </a:solidFill>
            <a:latin typeface="Baskerville Old Face" panose="02020602080505020303" pitchFamily="18" charset="0"/>
            <a:ea typeface="+mn-ea"/>
            <a:cs typeface="Arial"/>
          </a:endParaRPr>
        </a:p>
      </xdr:txBody>
    </xdr:sp>
    <xdr:clientData/>
  </xdr:oneCellAnchor>
  <xdr:oneCellAnchor>
    <xdr:from>
      <xdr:col>5</xdr:col>
      <xdr:colOff>624813</xdr:colOff>
      <xdr:row>4</xdr:row>
      <xdr:rowOff>130092</xdr:rowOff>
    </xdr:from>
    <xdr:ext cx="1303957" cy="414278"/>
    <xdr:sp macro="" textlink="">
      <xdr:nvSpPr>
        <xdr:cNvPr id="53" name="TextBox 52">
          <a:extLst>
            <a:ext uri="{FF2B5EF4-FFF2-40B4-BE49-F238E27FC236}">
              <a16:creationId xmlns:a16="http://schemas.microsoft.com/office/drawing/2014/main" id="{0D90EFC6-6F20-4530-8061-DF4981F25A9F}"/>
            </a:ext>
          </a:extLst>
        </xdr:cNvPr>
        <xdr:cNvSpPr txBox="1"/>
      </xdr:nvSpPr>
      <xdr:spPr>
        <a:xfrm>
          <a:off x="3918663" y="836402"/>
          <a:ext cx="1303957" cy="414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800" b="1" i="1" u="none" strike="noStrike">
              <a:solidFill>
                <a:schemeClr val="bg1">
                  <a:lumMod val="75000"/>
                </a:schemeClr>
              </a:solidFill>
              <a:latin typeface="Baskerville Old Face" panose="02020602080505020303" pitchFamily="18" charset="0"/>
              <a:ea typeface="+mn-ea"/>
              <a:cs typeface="Arial"/>
            </a:rPr>
            <a:t>Avarage Saleing </a:t>
          </a:r>
          <a:r>
            <a:rPr lang="en-US" sz="700" b="1" i="1" u="none" strike="noStrike">
              <a:solidFill>
                <a:schemeClr val="bg1">
                  <a:lumMod val="75000"/>
                </a:schemeClr>
              </a:solidFill>
              <a:latin typeface="Baskerville Old Face" panose="02020602080505020303" pitchFamily="18" charset="0"/>
              <a:ea typeface="+mn-ea"/>
              <a:cs typeface="Arial"/>
            </a:rPr>
            <a:t>FOR ALL PRODACT</a:t>
          </a:r>
        </a:p>
      </xdr:txBody>
    </xdr:sp>
    <xdr:clientData/>
  </xdr:oneCellAnchor>
  <xdr:twoCellAnchor>
    <xdr:from>
      <xdr:col>7</xdr:col>
      <xdr:colOff>613291</xdr:colOff>
      <xdr:row>5</xdr:row>
      <xdr:rowOff>67299</xdr:rowOff>
    </xdr:from>
    <xdr:to>
      <xdr:col>8</xdr:col>
      <xdr:colOff>274962</xdr:colOff>
      <xdr:row>6</xdr:row>
      <xdr:rowOff>178555</xdr:rowOff>
    </xdr:to>
    <xdr:sp macro="" textlink="">
      <xdr:nvSpPr>
        <xdr:cNvPr id="54" name="Flowchart: Connector 53">
          <a:extLst>
            <a:ext uri="{FF2B5EF4-FFF2-40B4-BE49-F238E27FC236}">
              <a16:creationId xmlns:a16="http://schemas.microsoft.com/office/drawing/2014/main" id="{8ACAC676-1AA8-4CF0-AD63-742F99101BFB}"/>
            </a:ext>
          </a:extLst>
        </xdr:cNvPr>
        <xdr:cNvSpPr/>
      </xdr:nvSpPr>
      <xdr:spPr>
        <a:xfrm>
          <a:off x="5222921" y="961003"/>
          <a:ext cx="320189" cy="289996"/>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oneCellAnchor>
    <xdr:from>
      <xdr:col>2</xdr:col>
      <xdr:colOff>502568</xdr:colOff>
      <xdr:row>0</xdr:row>
      <xdr:rowOff>74706</xdr:rowOff>
    </xdr:from>
    <xdr:ext cx="1394426" cy="336054"/>
    <xdr:sp macro="" textlink="">
      <xdr:nvSpPr>
        <xdr:cNvPr id="57" name="TextBox 56">
          <a:extLst>
            <a:ext uri="{FF2B5EF4-FFF2-40B4-BE49-F238E27FC236}">
              <a16:creationId xmlns:a16="http://schemas.microsoft.com/office/drawing/2014/main" id="{32B4DDE2-E56C-4330-867C-7868A84E52D5}"/>
            </a:ext>
          </a:extLst>
        </xdr:cNvPr>
        <xdr:cNvSpPr txBox="1"/>
      </xdr:nvSpPr>
      <xdr:spPr>
        <a:xfrm>
          <a:off x="1822049" y="74706"/>
          <a:ext cx="1394426"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chemeClr val="bg1"/>
              </a:solidFill>
              <a:latin typeface="Footlight MT Light" panose="0204060206030A020304" pitchFamily="18" charset="0"/>
              <a:ea typeface="+mn-ea"/>
              <a:cs typeface="+mn-cs"/>
            </a:rPr>
            <a:t>total order</a:t>
          </a:r>
        </a:p>
      </xdr:txBody>
    </xdr:sp>
    <xdr:clientData/>
  </xdr:oneCellAnchor>
  <xdr:oneCellAnchor>
    <xdr:from>
      <xdr:col>5</xdr:col>
      <xdr:colOff>546711</xdr:colOff>
      <xdr:row>0</xdr:row>
      <xdr:rowOff>-40556</xdr:rowOff>
    </xdr:from>
    <xdr:ext cx="1112226" cy="579774"/>
    <xdr:sp macro="" textlink="">
      <xdr:nvSpPr>
        <xdr:cNvPr id="58" name="TextBox 57">
          <a:extLst>
            <a:ext uri="{FF2B5EF4-FFF2-40B4-BE49-F238E27FC236}">
              <a16:creationId xmlns:a16="http://schemas.microsoft.com/office/drawing/2014/main" id="{1E2EC142-28B2-455D-B37A-C9C935372CB0}"/>
            </a:ext>
          </a:extLst>
        </xdr:cNvPr>
        <xdr:cNvSpPr txBox="1"/>
      </xdr:nvSpPr>
      <xdr:spPr>
        <a:xfrm>
          <a:off x="3840774" y="-40556"/>
          <a:ext cx="1112226" cy="579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chemeClr val="bg1"/>
              </a:solidFill>
              <a:latin typeface="Footlight MT Light" panose="0204060206030A020304" pitchFamily="18" charset="0"/>
              <a:ea typeface="+mn-ea"/>
              <a:cs typeface="+mn-cs"/>
            </a:rPr>
            <a:t>Avarage Saleing </a:t>
          </a:r>
        </a:p>
      </xdr:txBody>
    </xdr:sp>
    <xdr:clientData/>
  </xdr:oneCellAnchor>
  <xdr:twoCellAnchor>
    <xdr:from>
      <xdr:col>8</xdr:col>
      <xdr:colOff>418831</xdr:colOff>
      <xdr:row>0</xdr:row>
      <xdr:rowOff>64344</xdr:rowOff>
    </xdr:from>
    <xdr:to>
      <xdr:col>15</xdr:col>
      <xdr:colOff>520160</xdr:colOff>
      <xdr:row>7</xdr:row>
      <xdr:rowOff>77608</xdr:rowOff>
    </xdr:to>
    <xdr:sp macro="" textlink="">
      <xdr:nvSpPr>
        <xdr:cNvPr id="77" name="Rectangle: Rounded Corners 76">
          <a:extLst>
            <a:ext uri="{FF2B5EF4-FFF2-40B4-BE49-F238E27FC236}">
              <a16:creationId xmlns:a16="http://schemas.microsoft.com/office/drawing/2014/main" id="{243FAD98-9E05-4E57-89F6-D1F2F4C06599}"/>
            </a:ext>
          </a:extLst>
        </xdr:cNvPr>
        <xdr:cNvSpPr/>
      </xdr:nvSpPr>
      <xdr:spPr>
        <a:xfrm>
          <a:off x="5689331" y="64344"/>
          <a:ext cx="4713017" cy="1235639"/>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oneCellAnchor>
    <xdr:from>
      <xdr:col>8</xdr:col>
      <xdr:colOff>509252</xdr:colOff>
      <xdr:row>0</xdr:row>
      <xdr:rowOff>71340</xdr:rowOff>
    </xdr:from>
    <xdr:ext cx="1394426" cy="342786"/>
    <xdr:sp macro="" textlink="'PIVOT TABLE'!Q14">
      <xdr:nvSpPr>
        <xdr:cNvPr id="83" name="TextBox 82">
          <a:extLst>
            <a:ext uri="{FF2B5EF4-FFF2-40B4-BE49-F238E27FC236}">
              <a16:creationId xmlns:a16="http://schemas.microsoft.com/office/drawing/2014/main" id="{239AA0E0-C1AD-4C3D-A2E0-D9F7BAA1DC76}"/>
            </a:ext>
          </a:extLst>
        </xdr:cNvPr>
        <xdr:cNvSpPr txBox="1"/>
      </xdr:nvSpPr>
      <xdr:spPr>
        <a:xfrm>
          <a:off x="5779752" y="71340"/>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0F2458E5-F216-4BA2-A296-45424CB9CD6D}" type="TxLink">
            <a:rPr lang="ar-EG"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ترابيزه</a:t>
          </a:fld>
          <a:endParaRPr lang="en-US"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10</xdr:col>
      <xdr:colOff>589463</xdr:colOff>
      <xdr:row>0</xdr:row>
      <xdr:rowOff>74707</xdr:rowOff>
    </xdr:from>
    <xdr:ext cx="1394426" cy="336054"/>
    <xdr:sp macro="" textlink="'PIVOT TABLE'!R14">
      <xdr:nvSpPr>
        <xdr:cNvPr id="84" name="TextBox 83">
          <a:extLst>
            <a:ext uri="{FF2B5EF4-FFF2-40B4-BE49-F238E27FC236}">
              <a16:creationId xmlns:a16="http://schemas.microsoft.com/office/drawing/2014/main" id="{2EBC567F-3DD5-4F46-8C42-75753315F7FB}"/>
            </a:ext>
          </a:extLst>
        </xdr:cNvPr>
        <xdr:cNvSpPr txBox="1"/>
      </xdr:nvSpPr>
      <xdr:spPr>
        <a:xfrm>
          <a:off x="7177588" y="74707"/>
          <a:ext cx="1394426"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64BFFACA-33BF-4AC9-AA8A-3A0009767C58}" type="TxLink">
            <a:rPr lang="en-US" sz="1800" b="1" i="1" u="none" strike="noStrike">
              <a:solidFill>
                <a:schemeClr val="bg1"/>
              </a:solidFill>
              <a:latin typeface="Footlight MT Light" panose="0204060206030A020304" pitchFamily="18" charset="0"/>
              <a:ea typeface="+mn-ea"/>
              <a:cs typeface="Arial"/>
            </a:rPr>
            <a:pPr marL="0" indent="0" algn="ctr"/>
            <a:t>10%</a:t>
          </a:fld>
          <a:endParaRPr lang="en-US" sz="1800" b="1" i="1" u="none" strike="noStrike">
            <a:solidFill>
              <a:schemeClr val="bg1"/>
            </a:solidFill>
            <a:latin typeface="Footlight MT Light" panose="0204060206030A020304" pitchFamily="18" charset="0"/>
            <a:ea typeface="+mn-ea"/>
            <a:cs typeface="Arial"/>
          </a:endParaRPr>
        </a:p>
      </xdr:txBody>
    </xdr:sp>
    <xdr:clientData/>
  </xdr:oneCellAnchor>
  <xdr:oneCellAnchor>
    <xdr:from>
      <xdr:col>10</xdr:col>
      <xdr:colOff>597114</xdr:colOff>
      <xdr:row>2</xdr:row>
      <xdr:rowOff>11932</xdr:rowOff>
    </xdr:from>
    <xdr:ext cx="1394426" cy="336054"/>
    <xdr:sp macro="" textlink="'PIVOT TABLE'!R20">
      <xdr:nvSpPr>
        <xdr:cNvPr id="85" name="TextBox 84">
          <a:extLst>
            <a:ext uri="{FF2B5EF4-FFF2-40B4-BE49-F238E27FC236}">
              <a16:creationId xmlns:a16="http://schemas.microsoft.com/office/drawing/2014/main" id="{67059FC2-FAB8-4CAF-8238-FF099B90A1E6}"/>
            </a:ext>
          </a:extLst>
        </xdr:cNvPr>
        <xdr:cNvSpPr txBox="1"/>
      </xdr:nvSpPr>
      <xdr:spPr>
        <a:xfrm>
          <a:off x="7185239" y="361182"/>
          <a:ext cx="1394426"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1F4BDA17-B077-4ECD-91F9-76EF2590FAF0}" type="TxLink">
            <a:rPr lang="en-US" sz="1800" b="1" i="1" u="none" strike="noStrike">
              <a:solidFill>
                <a:schemeClr val="bg1"/>
              </a:solidFill>
              <a:latin typeface="Footlight MT Light" panose="0204060206030A020304" pitchFamily="18" charset="0"/>
              <a:ea typeface="+mn-ea"/>
              <a:cs typeface="Arial"/>
            </a:rPr>
            <a:pPr marL="0" indent="0" algn="ctr"/>
            <a:t>20%</a:t>
          </a:fld>
          <a:endParaRPr lang="en-US" sz="1800" b="1" i="1" u="none" strike="noStrike">
            <a:solidFill>
              <a:schemeClr val="bg1"/>
            </a:solidFill>
            <a:latin typeface="Footlight MT Light" panose="0204060206030A020304" pitchFamily="18" charset="0"/>
            <a:ea typeface="+mn-ea"/>
            <a:cs typeface="Arial"/>
          </a:endParaRPr>
        </a:p>
      </xdr:txBody>
    </xdr:sp>
    <xdr:clientData/>
  </xdr:oneCellAnchor>
  <xdr:oneCellAnchor>
    <xdr:from>
      <xdr:col>10</xdr:col>
      <xdr:colOff>589463</xdr:colOff>
      <xdr:row>3</xdr:row>
      <xdr:rowOff>125121</xdr:rowOff>
    </xdr:from>
    <xdr:ext cx="1394426" cy="336054"/>
    <xdr:sp macro="" textlink="'PIVOT TABLE'!R16">
      <xdr:nvSpPr>
        <xdr:cNvPr id="86" name="TextBox 85">
          <a:extLst>
            <a:ext uri="{FF2B5EF4-FFF2-40B4-BE49-F238E27FC236}">
              <a16:creationId xmlns:a16="http://schemas.microsoft.com/office/drawing/2014/main" id="{2462B466-C302-4A80-BB6E-468F9C372490}"/>
            </a:ext>
          </a:extLst>
        </xdr:cNvPr>
        <xdr:cNvSpPr txBox="1"/>
      </xdr:nvSpPr>
      <xdr:spPr>
        <a:xfrm>
          <a:off x="7177588" y="648996"/>
          <a:ext cx="1394426"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7A0EFBEC-5907-4AA9-B868-3FF543BF45FA}" type="TxLink">
            <a:rPr lang="en-US" sz="1800" b="1" i="1" u="none" strike="noStrike">
              <a:solidFill>
                <a:schemeClr val="bg1"/>
              </a:solidFill>
              <a:latin typeface="Footlight MT Light" panose="0204060206030A020304" pitchFamily="18" charset="0"/>
              <a:ea typeface="+mn-ea"/>
              <a:cs typeface="Arial"/>
            </a:rPr>
            <a:pPr marL="0" indent="0" algn="ctr"/>
            <a:t>64%</a:t>
          </a:fld>
          <a:endParaRPr lang="en-US" sz="1800" b="1" i="1" u="none" strike="noStrike">
            <a:solidFill>
              <a:schemeClr val="bg1"/>
            </a:solidFill>
            <a:latin typeface="Footlight MT Light" panose="0204060206030A020304" pitchFamily="18" charset="0"/>
            <a:ea typeface="+mn-ea"/>
            <a:cs typeface="Arial"/>
          </a:endParaRPr>
        </a:p>
      </xdr:txBody>
    </xdr:sp>
    <xdr:clientData/>
  </xdr:oneCellAnchor>
  <xdr:oneCellAnchor>
    <xdr:from>
      <xdr:col>10</xdr:col>
      <xdr:colOff>612415</xdr:colOff>
      <xdr:row>5</xdr:row>
      <xdr:rowOff>62346</xdr:rowOff>
    </xdr:from>
    <xdr:ext cx="1394426" cy="336054"/>
    <xdr:sp macro="" textlink="'PIVOT TABLE'!R15">
      <xdr:nvSpPr>
        <xdr:cNvPr id="87" name="TextBox 86">
          <a:extLst>
            <a:ext uri="{FF2B5EF4-FFF2-40B4-BE49-F238E27FC236}">
              <a16:creationId xmlns:a16="http://schemas.microsoft.com/office/drawing/2014/main" id="{99016B4A-5AC6-4C9F-934B-93D72A55E136}"/>
            </a:ext>
          </a:extLst>
        </xdr:cNvPr>
        <xdr:cNvSpPr txBox="1"/>
      </xdr:nvSpPr>
      <xdr:spPr>
        <a:xfrm>
          <a:off x="7200540" y="935471"/>
          <a:ext cx="1394426"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4EA9C324-39DF-4619-A3E9-B2B27D8F78C6}" type="TxLink">
            <a:rPr lang="en-US" sz="1800" b="1" i="1" u="none" strike="noStrike">
              <a:solidFill>
                <a:schemeClr val="bg1"/>
              </a:solidFill>
              <a:latin typeface="Footlight MT Light" panose="0204060206030A020304" pitchFamily="18" charset="0"/>
              <a:ea typeface="+mn-ea"/>
              <a:cs typeface="Arial"/>
            </a:rPr>
            <a:pPr marL="0" indent="0" algn="ctr"/>
            <a:t>2%</a:t>
          </a:fld>
          <a:endParaRPr lang="en-US" sz="1800" b="1" i="1" u="none" strike="noStrike">
            <a:solidFill>
              <a:schemeClr val="bg1"/>
            </a:solidFill>
            <a:latin typeface="Footlight MT Light" panose="0204060206030A020304" pitchFamily="18" charset="0"/>
            <a:ea typeface="+mn-ea"/>
            <a:cs typeface="Arial"/>
          </a:endParaRPr>
        </a:p>
      </xdr:txBody>
    </xdr:sp>
    <xdr:clientData/>
  </xdr:oneCellAnchor>
  <xdr:oneCellAnchor>
    <xdr:from>
      <xdr:col>8</xdr:col>
      <xdr:colOff>509252</xdr:colOff>
      <xdr:row>2</xdr:row>
      <xdr:rowOff>8242</xdr:rowOff>
    </xdr:from>
    <xdr:ext cx="1394426" cy="342786"/>
    <xdr:sp macro="" textlink="'PIVOT TABLE'!Q20">
      <xdr:nvSpPr>
        <xdr:cNvPr id="88" name="TextBox 87">
          <a:extLst>
            <a:ext uri="{FF2B5EF4-FFF2-40B4-BE49-F238E27FC236}">
              <a16:creationId xmlns:a16="http://schemas.microsoft.com/office/drawing/2014/main" id="{F0D35134-AE76-451D-997B-9DA410E95E9D}"/>
            </a:ext>
          </a:extLst>
        </xdr:cNvPr>
        <xdr:cNvSpPr txBox="1"/>
      </xdr:nvSpPr>
      <xdr:spPr>
        <a:xfrm>
          <a:off x="5779752" y="357492"/>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56A38D56-67DE-49C2-8604-0A406CF1BB7A}" type="TxLink">
            <a:rPr lang="ar-EG"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كنبة </a:t>
          </a:fld>
          <a:endParaRPr lang="en-US"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8</xdr:col>
      <xdr:colOff>524553</xdr:colOff>
      <xdr:row>3</xdr:row>
      <xdr:rowOff>121108</xdr:rowOff>
    </xdr:from>
    <xdr:ext cx="1394426" cy="342786"/>
    <xdr:sp macro="" textlink="'PIVOT TABLE'!Q16">
      <xdr:nvSpPr>
        <xdr:cNvPr id="90" name="TextBox 89">
          <a:extLst>
            <a:ext uri="{FF2B5EF4-FFF2-40B4-BE49-F238E27FC236}">
              <a16:creationId xmlns:a16="http://schemas.microsoft.com/office/drawing/2014/main" id="{B5137B40-FBCD-46AB-AB97-B17551AD2845}"/>
            </a:ext>
          </a:extLst>
        </xdr:cNvPr>
        <xdr:cNvSpPr txBox="1"/>
      </xdr:nvSpPr>
      <xdr:spPr>
        <a:xfrm>
          <a:off x="5795053" y="644983"/>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7F482A12-E161-46E5-BFAB-63897992410C}" type="TxLink">
            <a:rPr lang="ar-EG"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سرير</a:t>
          </a:fld>
          <a:endParaRPr lang="en-US"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8</xdr:col>
      <xdr:colOff>501602</xdr:colOff>
      <xdr:row>5</xdr:row>
      <xdr:rowOff>58012</xdr:rowOff>
    </xdr:from>
    <xdr:ext cx="1394426" cy="342786"/>
    <xdr:sp macro="" textlink="'PIVOT TABLE'!Q15">
      <xdr:nvSpPr>
        <xdr:cNvPr id="92" name="TextBox 91">
          <a:extLst>
            <a:ext uri="{FF2B5EF4-FFF2-40B4-BE49-F238E27FC236}">
              <a16:creationId xmlns:a16="http://schemas.microsoft.com/office/drawing/2014/main" id="{116ECB41-74BC-4FAE-9A2C-B26AE77CB19E}"/>
            </a:ext>
          </a:extLst>
        </xdr:cNvPr>
        <xdr:cNvSpPr txBox="1"/>
      </xdr:nvSpPr>
      <xdr:spPr>
        <a:xfrm>
          <a:off x="5772102" y="931137"/>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F1797A7F-0962-45BD-98FF-4F9C9F21200E}" type="TxLink">
            <a:rPr lang="ar-EG"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ركنة</a:t>
          </a:fld>
          <a:endParaRPr lang="en-US" sz="16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8</xdr:col>
      <xdr:colOff>628744</xdr:colOff>
      <xdr:row>0</xdr:row>
      <xdr:rowOff>88494</xdr:rowOff>
    </xdr:from>
    <xdr:to>
      <xdr:col>9</xdr:col>
      <xdr:colOff>243343</xdr:colOff>
      <xdr:row>2</xdr:row>
      <xdr:rowOff>11987</xdr:rowOff>
    </xdr:to>
    <xdr:sp macro="" textlink="">
      <xdr:nvSpPr>
        <xdr:cNvPr id="101" name="Flowchart: Connector 100">
          <a:extLst>
            <a:ext uri="{FF2B5EF4-FFF2-40B4-BE49-F238E27FC236}">
              <a16:creationId xmlns:a16="http://schemas.microsoft.com/office/drawing/2014/main" id="{19711C8D-1F21-46D3-A871-914FC468C577}"/>
            </a:ext>
          </a:extLst>
        </xdr:cNvPr>
        <xdr:cNvSpPr/>
      </xdr:nvSpPr>
      <xdr:spPr>
        <a:xfrm>
          <a:off x="5906666" y="88494"/>
          <a:ext cx="274339" cy="286350"/>
        </a:xfrm>
        <a:prstGeom prst="flowChartConnector">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5</xdr:col>
      <xdr:colOff>38246</xdr:colOff>
      <xdr:row>5</xdr:row>
      <xdr:rowOff>141012</xdr:rowOff>
    </xdr:from>
    <xdr:to>
      <xdr:col>5</xdr:col>
      <xdr:colOff>240863</xdr:colOff>
      <xdr:row>6</xdr:row>
      <xdr:rowOff>135759</xdr:rowOff>
    </xdr:to>
    <xdr:sp macro="" textlink="">
      <xdr:nvSpPr>
        <xdr:cNvPr id="102" name="Flowchart: Connector 101">
          <a:extLst>
            <a:ext uri="{FF2B5EF4-FFF2-40B4-BE49-F238E27FC236}">
              <a16:creationId xmlns:a16="http://schemas.microsoft.com/office/drawing/2014/main" id="{308F9A16-40E0-4D5F-8FA7-B8E2288F5758}"/>
            </a:ext>
          </a:extLst>
        </xdr:cNvPr>
        <xdr:cNvSpPr/>
      </xdr:nvSpPr>
      <xdr:spPr>
        <a:xfrm>
          <a:off x="3350296" y="1031839"/>
          <a:ext cx="202617" cy="172913"/>
        </a:xfrm>
        <a:prstGeom prst="flowChartConnec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632157</xdr:colOff>
      <xdr:row>4</xdr:row>
      <xdr:rowOff>16850</xdr:rowOff>
    </xdr:from>
    <xdr:to>
      <xdr:col>9</xdr:col>
      <xdr:colOff>255576</xdr:colOff>
      <xdr:row>5</xdr:row>
      <xdr:rowOff>95733</xdr:rowOff>
    </xdr:to>
    <xdr:sp macro="" textlink="">
      <xdr:nvSpPr>
        <xdr:cNvPr id="103" name="Flowchart: Connector 102">
          <a:extLst>
            <a:ext uri="{FF2B5EF4-FFF2-40B4-BE49-F238E27FC236}">
              <a16:creationId xmlns:a16="http://schemas.microsoft.com/office/drawing/2014/main" id="{A8CE445B-E3BA-4FF7-A97D-75877CC54006}"/>
            </a:ext>
          </a:extLst>
        </xdr:cNvPr>
        <xdr:cNvSpPr/>
      </xdr:nvSpPr>
      <xdr:spPr>
        <a:xfrm>
          <a:off x="5916996" y="733785"/>
          <a:ext cx="284024" cy="258117"/>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651189</xdr:colOff>
      <xdr:row>5</xdr:row>
      <xdr:rowOff>134720</xdr:rowOff>
    </xdr:from>
    <xdr:to>
      <xdr:col>9</xdr:col>
      <xdr:colOff>259925</xdr:colOff>
      <xdr:row>7</xdr:row>
      <xdr:rowOff>16132</xdr:rowOff>
    </xdr:to>
    <xdr:sp macro="" textlink="">
      <xdr:nvSpPr>
        <xdr:cNvPr id="104" name="Flowchart: Connector 103">
          <a:extLst>
            <a:ext uri="{FF2B5EF4-FFF2-40B4-BE49-F238E27FC236}">
              <a16:creationId xmlns:a16="http://schemas.microsoft.com/office/drawing/2014/main" id="{197DD948-0827-4E4C-8503-76A50331B080}"/>
            </a:ext>
          </a:extLst>
        </xdr:cNvPr>
        <xdr:cNvSpPr/>
      </xdr:nvSpPr>
      <xdr:spPr>
        <a:xfrm>
          <a:off x="5936028" y="1030889"/>
          <a:ext cx="269341" cy="239880"/>
        </a:xfrm>
        <a:prstGeom prst="flowChartConnector">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oneCellAnchor>
    <xdr:from>
      <xdr:col>2</xdr:col>
      <xdr:colOff>307841</xdr:colOff>
      <xdr:row>8</xdr:row>
      <xdr:rowOff>104655</xdr:rowOff>
    </xdr:from>
    <xdr:ext cx="1394426" cy="823495"/>
    <xdr:sp macro="" textlink="">
      <xdr:nvSpPr>
        <xdr:cNvPr id="110" name="TextBox 109">
          <a:extLst>
            <a:ext uri="{FF2B5EF4-FFF2-40B4-BE49-F238E27FC236}">
              <a16:creationId xmlns:a16="http://schemas.microsoft.com/office/drawing/2014/main" id="{61C9FE14-39E0-4270-82CA-215E072A38F9}"/>
            </a:ext>
          </a:extLst>
        </xdr:cNvPr>
        <xdr:cNvSpPr txBox="1"/>
      </xdr:nvSpPr>
      <xdr:spPr>
        <a:xfrm>
          <a:off x="1629678" y="1504247"/>
          <a:ext cx="1394426" cy="82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chemeClr val="bg1"/>
              </a:solidFill>
              <a:latin typeface="Footlight MT Light" panose="0204060206030A020304" pitchFamily="18" charset="0"/>
              <a:ea typeface="+mn-ea"/>
              <a:cs typeface="+mn-cs"/>
            </a:rPr>
            <a:t>Delevary Rate</a:t>
          </a:r>
          <a:r>
            <a:rPr lang="en-US" sz="1800" b="0" i="1" baseline="0">
              <a:solidFill>
                <a:schemeClr val="bg1"/>
              </a:solidFill>
              <a:latin typeface="Footlight MT Light" panose="0204060206030A020304" pitchFamily="18" charset="0"/>
              <a:ea typeface="+mn-ea"/>
              <a:cs typeface="+mn-cs"/>
            </a:rPr>
            <a:t> complete</a:t>
          </a:r>
          <a:endParaRPr lang="en-US" sz="1800" b="0" i="1">
            <a:solidFill>
              <a:schemeClr val="bg1"/>
            </a:solidFill>
            <a:latin typeface="Footlight MT Light" panose="0204060206030A020304" pitchFamily="18" charset="0"/>
            <a:ea typeface="+mn-ea"/>
            <a:cs typeface="+mn-cs"/>
          </a:endParaRPr>
        </a:p>
      </xdr:txBody>
    </xdr:sp>
    <xdr:clientData/>
  </xdr:oneCellAnchor>
  <xdr:oneCellAnchor>
    <xdr:from>
      <xdr:col>2</xdr:col>
      <xdr:colOff>333007</xdr:colOff>
      <xdr:row>21</xdr:row>
      <xdr:rowOff>63736</xdr:rowOff>
    </xdr:from>
    <xdr:ext cx="1312391" cy="301108"/>
    <xdr:sp macro="" textlink="">
      <xdr:nvSpPr>
        <xdr:cNvPr id="112" name="TextBox 111">
          <a:extLst>
            <a:ext uri="{FF2B5EF4-FFF2-40B4-BE49-F238E27FC236}">
              <a16:creationId xmlns:a16="http://schemas.microsoft.com/office/drawing/2014/main" id="{D08DF3DD-41F9-46F6-8858-095D6FE0AB31}"/>
            </a:ext>
          </a:extLst>
        </xdr:cNvPr>
        <xdr:cNvSpPr txBox="1"/>
      </xdr:nvSpPr>
      <xdr:spPr>
        <a:xfrm>
          <a:off x="1651853" y="3756505"/>
          <a:ext cx="1312391" cy="301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ar-EG" sz="1400" b="1" i="1" u="none" strike="noStrike">
              <a:solidFill>
                <a:schemeClr val="bg1"/>
              </a:solidFill>
              <a:latin typeface="Footlight MT Light" panose="0204060206030A020304" pitchFamily="18" charset="0"/>
              <a:ea typeface="+mn-ea"/>
              <a:cs typeface="Arial"/>
            </a:rPr>
            <a:t>التسليم</a:t>
          </a:r>
          <a:r>
            <a:rPr lang="ar-EG" sz="1400" b="1" i="1" u="none" strike="noStrike" baseline="0">
              <a:solidFill>
                <a:schemeClr val="bg1"/>
              </a:solidFill>
              <a:latin typeface="Footlight MT Light" panose="0204060206030A020304" pitchFamily="18" charset="0"/>
              <a:ea typeface="+mn-ea"/>
              <a:cs typeface="Arial"/>
            </a:rPr>
            <a:t> المتفق </a:t>
          </a:r>
          <a:endParaRPr lang="en-US" sz="1400" b="1" i="1" u="none" strike="noStrike">
            <a:solidFill>
              <a:schemeClr val="bg1"/>
            </a:solidFill>
            <a:latin typeface="Footlight MT Light" panose="0204060206030A020304" pitchFamily="18" charset="0"/>
            <a:ea typeface="+mn-ea"/>
            <a:cs typeface="Arial"/>
          </a:endParaRPr>
        </a:p>
      </xdr:txBody>
    </xdr:sp>
    <xdr:clientData/>
  </xdr:oneCellAnchor>
  <xdr:twoCellAnchor>
    <xdr:from>
      <xdr:col>4</xdr:col>
      <xdr:colOff>356074</xdr:colOff>
      <xdr:row>8</xdr:row>
      <xdr:rowOff>53411</xdr:rowOff>
    </xdr:from>
    <xdr:to>
      <xdr:col>4</xdr:col>
      <xdr:colOff>356074</xdr:colOff>
      <xdr:row>21</xdr:row>
      <xdr:rowOff>53411</xdr:rowOff>
    </xdr:to>
    <xdr:cxnSp macro="">
      <xdr:nvCxnSpPr>
        <xdr:cNvPr id="114" name="Straight Connector 113">
          <a:extLst>
            <a:ext uri="{FF2B5EF4-FFF2-40B4-BE49-F238E27FC236}">
              <a16:creationId xmlns:a16="http://schemas.microsoft.com/office/drawing/2014/main" id="{891E8902-4A0D-4F91-B288-0BF4CDE20CB8}"/>
            </a:ext>
          </a:extLst>
        </xdr:cNvPr>
        <xdr:cNvCxnSpPr/>
      </xdr:nvCxnSpPr>
      <xdr:spPr>
        <a:xfrm>
          <a:off x="2991027" y="1477710"/>
          <a:ext cx="0" cy="2314486"/>
        </a:xfrm>
        <a:prstGeom prst="line">
          <a:avLst/>
        </a:prstGeom>
        <a:ln w="19050">
          <a:solidFill>
            <a:schemeClr val="accent3">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0</xdr:row>
      <xdr:rowOff>0</xdr:rowOff>
    </xdr:from>
    <xdr:to>
      <xdr:col>0</xdr:col>
      <xdr:colOff>1</xdr:colOff>
      <xdr:row>6</xdr:row>
      <xdr:rowOff>155360</xdr:rowOff>
    </xdr:to>
    <xdr:cxnSp macro="">
      <xdr:nvCxnSpPr>
        <xdr:cNvPr id="117" name="Straight Connector 116">
          <a:extLst>
            <a:ext uri="{FF2B5EF4-FFF2-40B4-BE49-F238E27FC236}">
              <a16:creationId xmlns:a16="http://schemas.microsoft.com/office/drawing/2014/main" id="{8B2AE118-D28D-4D55-92D1-115CBFAD93EC}"/>
            </a:ext>
          </a:extLst>
        </xdr:cNvPr>
        <xdr:cNvCxnSpPr/>
      </xdr:nvCxnSpPr>
      <xdr:spPr>
        <a:xfrm>
          <a:off x="1" y="0"/>
          <a:ext cx="0" cy="1224834"/>
        </a:xfrm>
        <a:prstGeom prst="line">
          <a:avLst/>
        </a:prstGeom>
        <a:ln w="19050">
          <a:solidFill>
            <a:schemeClr val="accent3">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582968</xdr:colOff>
      <xdr:row>8</xdr:row>
      <xdr:rowOff>7938</xdr:rowOff>
    </xdr:from>
    <xdr:to>
      <xdr:col>12</xdr:col>
      <xdr:colOff>619125</xdr:colOff>
      <xdr:row>20</xdr:row>
      <xdr:rowOff>148875</xdr:rowOff>
    </xdr:to>
    <xdr:cxnSp macro="">
      <xdr:nvCxnSpPr>
        <xdr:cNvPr id="118" name="Straight Connector 117">
          <a:extLst>
            <a:ext uri="{FF2B5EF4-FFF2-40B4-BE49-F238E27FC236}">
              <a16:creationId xmlns:a16="http://schemas.microsoft.com/office/drawing/2014/main" id="{2F034D88-F188-49E2-9C34-BCFDC6E86B97}"/>
            </a:ext>
          </a:extLst>
        </xdr:cNvPr>
        <xdr:cNvCxnSpPr/>
      </xdr:nvCxnSpPr>
      <xdr:spPr>
        <a:xfrm flipH="1">
          <a:off x="8488718" y="1404938"/>
          <a:ext cx="36157" cy="2236437"/>
        </a:xfrm>
        <a:prstGeom prst="line">
          <a:avLst/>
        </a:prstGeom>
        <a:ln w="19050">
          <a:solidFill>
            <a:schemeClr val="accent3">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xdr:colOff>
      <xdr:row>0</xdr:row>
      <xdr:rowOff>0</xdr:rowOff>
    </xdr:from>
    <xdr:to>
      <xdr:col>0</xdr:col>
      <xdr:colOff>19049</xdr:colOff>
      <xdr:row>6</xdr:row>
      <xdr:rowOff>149524</xdr:rowOff>
    </xdr:to>
    <xdr:pic>
      <xdr:nvPicPr>
        <xdr:cNvPr id="120" name="Picture 119">
          <a:extLst>
            <a:ext uri="{FF2B5EF4-FFF2-40B4-BE49-F238E27FC236}">
              <a16:creationId xmlns:a16="http://schemas.microsoft.com/office/drawing/2014/main" id="{942700F2-93E2-41ED-8231-C8B21CA65F09}"/>
            </a:ext>
          </a:extLst>
        </xdr:cNvPr>
        <xdr:cNvPicPr>
          <a:picLocks noChangeAspect="1"/>
        </xdr:cNvPicPr>
      </xdr:nvPicPr>
      <xdr:blipFill>
        <a:blip xmlns:r="http://schemas.openxmlformats.org/officeDocument/2006/relationships" r:embed="rId6"/>
        <a:stretch>
          <a:fillRect/>
        </a:stretch>
      </xdr:blipFill>
      <xdr:spPr>
        <a:xfrm>
          <a:off x="1" y="0"/>
          <a:ext cx="19048" cy="1238095"/>
        </a:xfrm>
        <a:prstGeom prst="rect">
          <a:avLst/>
        </a:prstGeom>
      </xdr:spPr>
    </xdr:pic>
    <xdr:clientData/>
  </xdr:twoCellAnchor>
  <xdr:oneCellAnchor>
    <xdr:from>
      <xdr:col>12</xdr:col>
      <xdr:colOff>430929</xdr:colOff>
      <xdr:row>16</xdr:row>
      <xdr:rowOff>12104</xdr:rowOff>
    </xdr:from>
    <xdr:ext cx="1394426" cy="342786"/>
    <xdr:sp macro="" textlink="#REF!">
      <xdr:nvSpPr>
        <xdr:cNvPr id="137" name="TextBox 136">
          <a:extLst>
            <a:ext uri="{FF2B5EF4-FFF2-40B4-BE49-F238E27FC236}">
              <a16:creationId xmlns:a16="http://schemas.microsoft.com/office/drawing/2014/main" id="{C12811A7-4864-46F9-B5A1-11833898DB7B}"/>
            </a:ext>
          </a:extLst>
        </xdr:cNvPr>
        <xdr:cNvSpPr txBox="1"/>
      </xdr:nvSpPr>
      <xdr:spPr>
        <a:xfrm>
          <a:off x="8397293" y="2898468"/>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67EBD846-E45B-4033-87AC-7D68096C9F23}" type="TxLink">
            <a:rPr lang="ar-EG" sz="1600" b="1" i="1" u="none" strike="noStrike">
              <a:solidFill>
                <a:srgbClr val="EAF2FF"/>
              </a:solidFill>
              <a:latin typeface="Footlight MT Light" panose="0204060206030A020304" pitchFamily="18" charset="0"/>
              <a:ea typeface="+mn-ea"/>
              <a:cs typeface="Arial"/>
            </a:rPr>
            <a:pPr marL="0" indent="0" algn="ctr"/>
            <a:t>القاهرة</a:t>
          </a:fld>
          <a:endParaRPr lang="en-US" sz="1600" b="1" i="1" u="none" strike="noStrike">
            <a:solidFill>
              <a:srgbClr val="EAF2FF"/>
            </a:solidFill>
            <a:latin typeface="Footlight MT Light" panose="0204060206030A020304" pitchFamily="18" charset="0"/>
            <a:ea typeface="+mn-ea"/>
            <a:cs typeface="Arial"/>
          </a:endParaRPr>
        </a:p>
      </xdr:txBody>
    </xdr:sp>
    <xdr:clientData/>
  </xdr:oneCellAnchor>
  <xdr:oneCellAnchor>
    <xdr:from>
      <xdr:col>12</xdr:col>
      <xdr:colOff>447317</xdr:colOff>
      <xdr:row>17</xdr:row>
      <xdr:rowOff>84390</xdr:rowOff>
    </xdr:from>
    <xdr:ext cx="1394426" cy="342786"/>
    <xdr:sp macro="" textlink="#REF!">
      <xdr:nvSpPr>
        <xdr:cNvPr id="138" name="TextBox 137">
          <a:extLst>
            <a:ext uri="{FF2B5EF4-FFF2-40B4-BE49-F238E27FC236}">
              <a16:creationId xmlns:a16="http://schemas.microsoft.com/office/drawing/2014/main" id="{F1C528B7-8A52-4CFC-B9C2-46F2C32BFAEA}"/>
            </a:ext>
          </a:extLst>
        </xdr:cNvPr>
        <xdr:cNvSpPr txBox="1"/>
      </xdr:nvSpPr>
      <xdr:spPr>
        <a:xfrm>
          <a:off x="8413681" y="3151151"/>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2EC1B602-B400-4271-9116-357FC35C3910}" type="TxLink">
            <a:rPr lang="ar-EG" sz="1600" b="1" i="1" u="none" strike="noStrike">
              <a:solidFill>
                <a:srgbClr val="EAF2FF"/>
              </a:solidFill>
              <a:latin typeface="Footlight MT Light" panose="0204060206030A020304" pitchFamily="18" charset="0"/>
              <a:ea typeface="+mn-ea"/>
              <a:cs typeface="Arial"/>
            </a:rPr>
            <a:pPr marL="0" indent="0" algn="ctr"/>
            <a:t>الجيزة</a:t>
          </a:fld>
          <a:endParaRPr lang="en-US" sz="1600" b="1" i="1" u="none" strike="noStrike">
            <a:solidFill>
              <a:srgbClr val="EAF2FF"/>
            </a:solidFill>
            <a:latin typeface="Footlight MT Light" panose="0204060206030A020304" pitchFamily="18" charset="0"/>
            <a:ea typeface="+mn-ea"/>
            <a:cs typeface="Arial"/>
          </a:endParaRPr>
        </a:p>
      </xdr:txBody>
    </xdr:sp>
    <xdr:clientData/>
  </xdr:oneCellAnchor>
  <xdr:oneCellAnchor>
    <xdr:from>
      <xdr:col>12</xdr:col>
      <xdr:colOff>611188</xdr:colOff>
      <xdr:row>18</xdr:row>
      <xdr:rowOff>159729</xdr:rowOff>
    </xdr:from>
    <xdr:ext cx="1226458" cy="342786"/>
    <xdr:sp macro="" textlink="#REF!">
      <xdr:nvSpPr>
        <xdr:cNvPr id="139" name="TextBox 138">
          <a:extLst>
            <a:ext uri="{FF2B5EF4-FFF2-40B4-BE49-F238E27FC236}">
              <a16:creationId xmlns:a16="http://schemas.microsoft.com/office/drawing/2014/main" id="{3C1A9DE8-29DA-46CD-A1F3-C48506463643}"/>
            </a:ext>
          </a:extLst>
        </xdr:cNvPr>
        <xdr:cNvSpPr txBox="1"/>
      </xdr:nvSpPr>
      <xdr:spPr>
        <a:xfrm>
          <a:off x="8516938" y="3302979"/>
          <a:ext cx="122645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9C7D426B-EF68-4EB7-9609-595B7A18A4E5}" type="TxLink">
            <a:rPr lang="ar-EG" sz="1600" b="1" i="1" u="none" strike="noStrike">
              <a:solidFill>
                <a:srgbClr val="EAF2FF"/>
              </a:solidFill>
              <a:latin typeface="Footlight MT Light" panose="0204060206030A020304" pitchFamily="18" charset="0"/>
              <a:ea typeface="+mn-ea"/>
              <a:cs typeface="Arial"/>
            </a:rPr>
            <a:pPr marL="0" indent="0" algn="ctr"/>
            <a:t>البحر الأحمر</a:t>
          </a:fld>
          <a:endParaRPr lang="en-US" sz="1600" b="1" i="1" u="none" strike="noStrike">
            <a:solidFill>
              <a:srgbClr val="EAF2FF"/>
            </a:solidFill>
            <a:latin typeface="Footlight MT Light" panose="0204060206030A020304" pitchFamily="18" charset="0"/>
            <a:ea typeface="+mn-ea"/>
            <a:cs typeface="Arial"/>
          </a:endParaRPr>
        </a:p>
      </xdr:txBody>
    </xdr:sp>
    <xdr:clientData/>
  </xdr:oneCellAnchor>
  <xdr:oneCellAnchor>
    <xdr:from>
      <xdr:col>14</xdr:col>
      <xdr:colOff>275253</xdr:colOff>
      <xdr:row>19</xdr:row>
      <xdr:rowOff>356</xdr:rowOff>
    </xdr:from>
    <xdr:ext cx="1394426" cy="308931"/>
    <xdr:sp macro="" textlink="#REF!">
      <xdr:nvSpPr>
        <xdr:cNvPr id="140" name="TextBox 139">
          <a:extLst>
            <a:ext uri="{FF2B5EF4-FFF2-40B4-BE49-F238E27FC236}">
              <a16:creationId xmlns:a16="http://schemas.microsoft.com/office/drawing/2014/main" id="{C0515EC1-1EA3-45B3-83CE-DB718E2F14EE}"/>
            </a:ext>
          </a:extLst>
        </xdr:cNvPr>
        <xdr:cNvSpPr txBox="1"/>
      </xdr:nvSpPr>
      <xdr:spPr>
        <a:xfrm>
          <a:off x="9569344" y="3427913"/>
          <a:ext cx="1394426" cy="308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E6CDA982-A288-453C-BCFC-856D569C84D4}" type="TxLink">
            <a:rPr lang="en-US" sz="1600" b="1" i="1" u="none" strike="noStrike">
              <a:solidFill>
                <a:schemeClr val="accent2">
                  <a:lumMod val="40000"/>
                  <a:lumOff val="60000"/>
                </a:schemeClr>
              </a:solidFill>
              <a:latin typeface="Footlight MT Light" panose="0204060206030A020304" pitchFamily="18" charset="0"/>
              <a:ea typeface="+mn-ea"/>
              <a:cs typeface="Arial"/>
            </a:rPr>
            <a:pPr marL="0" indent="0" algn="ctr"/>
            <a:t>6%</a:t>
          </a:fld>
          <a:endParaRPr lang="en-US" sz="1600" b="1" i="1" u="none" strike="noStrike">
            <a:solidFill>
              <a:schemeClr val="accent2">
                <a:lumMod val="40000"/>
                <a:lumOff val="60000"/>
              </a:schemeClr>
            </a:solidFill>
            <a:latin typeface="Footlight MT Light" panose="0204060206030A020304" pitchFamily="18" charset="0"/>
            <a:ea typeface="+mn-ea"/>
            <a:cs typeface="Arial"/>
          </a:endParaRPr>
        </a:p>
      </xdr:txBody>
    </xdr:sp>
    <xdr:clientData/>
  </xdr:oneCellAnchor>
  <xdr:oneCellAnchor>
    <xdr:from>
      <xdr:col>14</xdr:col>
      <xdr:colOff>234285</xdr:colOff>
      <xdr:row>16</xdr:row>
      <xdr:rowOff>25527</xdr:rowOff>
    </xdr:from>
    <xdr:ext cx="1394426" cy="308931"/>
    <xdr:sp macro="" textlink="#REF!">
      <xdr:nvSpPr>
        <xdr:cNvPr id="143" name="TextBox 142">
          <a:extLst>
            <a:ext uri="{FF2B5EF4-FFF2-40B4-BE49-F238E27FC236}">
              <a16:creationId xmlns:a16="http://schemas.microsoft.com/office/drawing/2014/main" id="{780622C7-7518-4C3C-9BCC-AC3965211349}"/>
            </a:ext>
          </a:extLst>
        </xdr:cNvPr>
        <xdr:cNvSpPr txBox="1"/>
      </xdr:nvSpPr>
      <xdr:spPr>
        <a:xfrm>
          <a:off x="9528376" y="2911891"/>
          <a:ext cx="1394426" cy="308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5EF44B3B-B772-434B-A2C7-90B01050C486}" type="TxLink">
            <a:rPr lang="en-US" sz="1600" b="1" i="1" u="none" strike="noStrike">
              <a:solidFill>
                <a:schemeClr val="accent2">
                  <a:lumMod val="75000"/>
                </a:schemeClr>
              </a:solidFill>
              <a:latin typeface="Footlight MT Light" panose="0204060206030A020304" pitchFamily="18" charset="0"/>
              <a:ea typeface="+mn-ea"/>
              <a:cs typeface="Arial"/>
            </a:rPr>
            <a:pPr marL="0" indent="0" algn="ctr"/>
            <a:t>73%</a:t>
          </a:fld>
          <a:endParaRPr lang="en-US" sz="1600" b="1" i="1" u="none" strike="noStrike">
            <a:solidFill>
              <a:schemeClr val="accent2">
                <a:lumMod val="75000"/>
              </a:schemeClr>
            </a:solidFill>
            <a:latin typeface="Footlight MT Light" panose="0204060206030A020304" pitchFamily="18" charset="0"/>
            <a:ea typeface="+mn-ea"/>
            <a:cs typeface="Arial"/>
          </a:endParaRPr>
        </a:p>
      </xdr:txBody>
    </xdr:sp>
    <xdr:clientData/>
  </xdr:oneCellAnchor>
  <xdr:oneCellAnchor>
    <xdr:from>
      <xdr:col>14</xdr:col>
      <xdr:colOff>291639</xdr:colOff>
      <xdr:row>17</xdr:row>
      <xdr:rowOff>101319</xdr:rowOff>
    </xdr:from>
    <xdr:ext cx="1394426" cy="308931"/>
    <xdr:sp macro="" textlink="#REF!">
      <xdr:nvSpPr>
        <xdr:cNvPr id="144" name="TextBox 143">
          <a:extLst>
            <a:ext uri="{FF2B5EF4-FFF2-40B4-BE49-F238E27FC236}">
              <a16:creationId xmlns:a16="http://schemas.microsoft.com/office/drawing/2014/main" id="{EC3F376E-83C3-4A2A-9230-70627C019E15}"/>
            </a:ext>
          </a:extLst>
        </xdr:cNvPr>
        <xdr:cNvSpPr txBox="1"/>
      </xdr:nvSpPr>
      <xdr:spPr>
        <a:xfrm>
          <a:off x="9528003" y="3185605"/>
          <a:ext cx="1394426" cy="308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03BC68F1-316C-4695-A01E-8B3EC939670B}" type="TxLink">
            <a:rPr lang="en-US" sz="1600" b="1" i="1" u="none" strike="noStrike">
              <a:solidFill>
                <a:schemeClr val="accent2">
                  <a:lumMod val="60000"/>
                  <a:lumOff val="40000"/>
                </a:schemeClr>
              </a:solidFill>
              <a:latin typeface="Footlight MT Light" panose="0204060206030A020304" pitchFamily="18" charset="0"/>
              <a:ea typeface="+mn-ea"/>
              <a:cs typeface="Arial"/>
            </a:rPr>
            <a:pPr marL="0" indent="0" algn="ctr"/>
            <a:t>20%</a:t>
          </a:fld>
          <a:endParaRPr lang="en-US" sz="1600" b="1" i="1" u="none" strike="noStrike">
            <a:solidFill>
              <a:schemeClr val="accent2">
                <a:lumMod val="60000"/>
                <a:lumOff val="40000"/>
              </a:schemeClr>
            </a:solidFill>
            <a:latin typeface="Footlight MT Light" panose="0204060206030A020304" pitchFamily="18" charset="0"/>
            <a:ea typeface="+mn-ea"/>
            <a:cs typeface="Arial"/>
          </a:endParaRPr>
        </a:p>
      </xdr:txBody>
    </xdr:sp>
    <xdr:clientData/>
  </xdr:oneCellAnchor>
  <xdr:oneCellAnchor>
    <xdr:from>
      <xdr:col>13</xdr:col>
      <xdr:colOff>525226</xdr:colOff>
      <xdr:row>7</xdr:row>
      <xdr:rowOff>78900</xdr:rowOff>
    </xdr:from>
    <xdr:ext cx="1413052" cy="363048"/>
    <xdr:sp macro="" textlink="">
      <xdr:nvSpPr>
        <xdr:cNvPr id="145" name="TextBox 144">
          <a:extLst>
            <a:ext uri="{FF2B5EF4-FFF2-40B4-BE49-F238E27FC236}">
              <a16:creationId xmlns:a16="http://schemas.microsoft.com/office/drawing/2014/main" id="{E1A0FF3A-D79D-48BC-B420-6BD618A763CE}"/>
            </a:ext>
          </a:extLst>
        </xdr:cNvPr>
        <xdr:cNvSpPr txBox="1"/>
      </xdr:nvSpPr>
      <xdr:spPr>
        <a:xfrm>
          <a:off x="9101849" y="1348900"/>
          <a:ext cx="1413052" cy="3630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2000" b="1" i="1">
              <a:solidFill>
                <a:schemeClr val="bg1"/>
              </a:solidFill>
              <a:latin typeface="Footlight MT Light" panose="0204060206030A020304" pitchFamily="18" charset="0"/>
              <a:ea typeface="+mn-ea"/>
              <a:cs typeface="+mn-cs"/>
            </a:rPr>
            <a:t>top</a:t>
          </a:r>
          <a:r>
            <a:rPr lang="en-US" sz="2000" b="1" i="1" baseline="0">
              <a:solidFill>
                <a:schemeClr val="bg1"/>
              </a:solidFill>
              <a:latin typeface="Footlight MT Light" panose="0204060206030A020304" pitchFamily="18" charset="0"/>
              <a:ea typeface="+mn-ea"/>
              <a:cs typeface="+mn-cs"/>
            </a:rPr>
            <a:t> 3 area</a:t>
          </a:r>
        </a:p>
      </xdr:txBody>
    </xdr:sp>
    <xdr:clientData/>
  </xdr:oneCellAnchor>
  <xdr:twoCellAnchor>
    <xdr:from>
      <xdr:col>4</xdr:col>
      <xdr:colOff>418802</xdr:colOff>
      <xdr:row>16</xdr:row>
      <xdr:rowOff>108021</xdr:rowOff>
    </xdr:from>
    <xdr:to>
      <xdr:col>7</xdr:col>
      <xdr:colOff>78564</xdr:colOff>
      <xdr:row>23</xdr:row>
      <xdr:rowOff>134795</xdr:rowOff>
    </xdr:to>
    <xdr:sp macro="" textlink="">
      <xdr:nvSpPr>
        <xdr:cNvPr id="75" name="Rectangle: Rounded Corners 74">
          <a:extLst>
            <a:ext uri="{FF2B5EF4-FFF2-40B4-BE49-F238E27FC236}">
              <a16:creationId xmlns:a16="http://schemas.microsoft.com/office/drawing/2014/main" id="{5F7CEE3A-D2E8-4D50-A8BF-08951BC66AEA}"/>
            </a:ext>
          </a:extLst>
        </xdr:cNvPr>
        <xdr:cNvSpPr/>
      </xdr:nvSpPr>
      <xdr:spPr>
        <a:xfrm>
          <a:off x="3058410" y="2996648"/>
          <a:ext cx="1639468" cy="1290549"/>
        </a:xfrm>
        <a:prstGeom prst="roundRect">
          <a:avLst/>
        </a:prstGeom>
        <a:solidFill>
          <a:srgbClr val="D4AF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7</xdr:col>
      <xdr:colOff>297443</xdr:colOff>
      <xdr:row>16</xdr:row>
      <xdr:rowOff>102363</xdr:rowOff>
    </xdr:from>
    <xdr:to>
      <xdr:col>9</xdr:col>
      <xdr:colOff>621067</xdr:colOff>
      <xdr:row>23</xdr:row>
      <xdr:rowOff>129137</xdr:rowOff>
    </xdr:to>
    <xdr:sp macro="" textlink="">
      <xdr:nvSpPr>
        <xdr:cNvPr id="76" name="Rectangle: Rounded Corners 75">
          <a:extLst>
            <a:ext uri="{FF2B5EF4-FFF2-40B4-BE49-F238E27FC236}">
              <a16:creationId xmlns:a16="http://schemas.microsoft.com/office/drawing/2014/main" id="{93D8D754-DA83-4F73-B0F6-1A41E52DDA5A}"/>
            </a:ext>
          </a:extLst>
        </xdr:cNvPr>
        <xdr:cNvSpPr/>
      </xdr:nvSpPr>
      <xdr:spPr>
        <a:xfrm>
          <a:off x="4916757" y="2990990"/>
          <a:ext cx="1643428" cy="1290549"/>
        </a:xfrm>
        <a:prstGeom prst="roundRect">
          <a:avLst/>
        </a:prstGeom>
        <a:solidFill>
          <a:srgbClr val="D4AF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10</xdr:col>
      <xdr:colOff>180044</xdr:colOff>
      <xdr:row>16</xdr:row>
      <xdr:rowOff>126699</xdr:rowOff>
    </xdr:from>
    <xdr:to>
      <xdr:col>12</xdr:col>
      <xdr:colOff>495625</xdr:colOff>
      <xdr:row>23</xdr:row>
      <xdr:rowOff>153473</xdr:rowOff>
    </xdr:to>
    <xdr:sp macro="" textlink="">
      <xdr:nvSpPr>
        <xdr:cNvPr id="78" name="Rectangle: Rounded Corners 77">
          <a:extLst>
            <a:ext uri="{FF2B5EF4-FFF2-40B4-BE49-F238E27FC236}">
              <a16:creationId xmlns:a16="http://schemas.microsoft.com/office/drawing/2014/main" id="{6C77211F-88DA-46A0-86A9-45F18B1F8479}"/>
            </a:ext>
          </a:extLst>
        </xdr:cNvPr>
        <xdr:cNvSpPr/>
      </xdr:nvSpPr>
      <xdr:spPr>
        <a:xfrm>
          <a:off x="6779064" y="3015326"/>
          <a:ext cx="1635385" cy="1290549"/>
        </a:xfrm>
        <a:prstGeom prst="roundRect">
          <a:avLst/>
        </a:prstGeom>
        <a:solidFill>
          <a:srgbClr val="D4AF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0</xdr:col>
      <xdr:colOff>226721</xdr:colOff>
      <xdr:row>24</xdr:row>
      <xdr:rowOff>163206</xdr:rowOff>
    </xdr:from>
    <xdr:to>
      <xdr:col>3</xdr:col>
      <xdr:colOff>648908</xdr:colOff>
      <xdr:row>29</xdr:row>
      <xdr:rowOff>14306</xdr:rowOff>
    </xdr:to>
    <xdr:sp macro="" textlink="">
      <xdr:nvSpPr>
        <xdr:cNvPr id="15" name="Arrow: Right 14">
          <a:extLst>
            <a:ext uri="{FF2B5EF4-FFF2-40B4-BE49-F238E27FC236}">
              <a16:creationId xmlns:a16="http://schemas.microsoft.com/office/drawing/2014/main" id="{ED64CF15-F97A-4E61-ADD6-287E42A77E58}"/>
            </a:ext>
          </a:extLst>
        </xdr:cNvPr>
        <xdr:cNvSpPr/>
      </xdr:nvSpPr>
      <xdr:spPr>
        <a:xfrm>
          <a:off x="226721" y="4378525"/>
          <a:ext cx="2408251" cy="729292"/>
        </a:xfrm>
        <a:prstGeom prst="rightArrow">
          <a:avLst/>
        </a:prstGeom>
        <a:solidFill>
          <a:srgbClr val="D4AF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0</xdr:col>
      <xdr:colOff>630231</xdr:colOff>
      <xdr:row>26</xdr:row>
      <xdr:rowOff>40532</xdr:rowOff>
    </xdr:from>
    <xdr:to>
      <xdr:col>3</xdr:col>
      <xdr:colOff>179876</xdr:colOff>
      <xdr:row>27</xdr:row>
      <xdr:rowOff>140140</xdr:rowOff>
    </xdr:to>
    <xdr:sp macro="" textlink="">
      <xdr:nvSpPr>
        <xdr:cNvPr id="18" name="Rectangle: Beveled 17">
          <a:extLst>
            <a:ext uri="{FF2B5EF4-FFF2-40B4-BE49-F238E27FC236}">
              <a16:creationId xmlns:a16="http://schemas.microsoft.com/office/drawing/2014/main" id="{A30ED2EA-1D67-4C6F-8054-6D730F843BF4}"/>
            </a:ext>
          </a:extLst>
        </xdr:cNvPr>
        <xdr:cNvSpPr/>
      </xdr:nvSpPr>
      <xdr:spPr>
        <a:xfrm>
          <a:off x="630231" y="4607128"/>
          <a:ext cx="1535709" cy="275246"/>
        </a:xfrm>
        <a:prstGeom prst="bevel">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oneCellAnchor>
    <xdr:from>
      <xdr:col>5</xdr:col>
      <xdr:colOff>446355</xdr:colOff>
      <xdr:row>7</xdr:row>
      <xdr:rowOff>71584</xdr:rowOff>
    </xdr:from>
    <xdr:ext cx="4589318" cy="405432"/>
    <xdr:sp macro="" textlink="">
      <xdr:nvSpPr>
        <xdr:cNvPr id="89" name="TextBox 88">
          <a:extLst>
            <a:ext uri="{FF2B5EF4-FFF2-40B4-BE49-F238E27FC236}">
              <a16:creationId xmlns:a16="http://schemas.microsoft.com/office/drawing/2014/main" id="{29499E5B-B90B-4806-986B-0071EABBE38B}"/>
            </a:ext>
          </a:extLst>
        </xdr:cNvPr>
        <xdr:cNvSpPr txBox="1"/>
      </xdr:nvSpPr>
      <xdr:spPr>
        <a:xfrm>
          <a:off x="3745056" y="1341584"/>
          <a:ext cx="458931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2000" b="1" i="1">
              <a:solidFill>
                <a:schemeClr val="bg1"/>
              </a:solidFill>
              <a:latin typeface="Footlight MT Light" panose="0204060206030A020304" pitchFamily="18" charset="0"/>
              <a:ea typeface="+mn-ea"/>
              <a:cs typeface="+mn-cs"/>
            </a:rPr>
            <a:t>daate</a:t>
          </a:r>
          <a:r>
            <a:rPr lang="en-US" sz="1100" b="1" i="1" u="none" strike="noStrike">
              <a:solidFill>
                <a:schemeClr val="tx1"/>
              </a:solidFill>
              <a:effectLst/>
              <a:latin typeface="+mn-lt"/>
              <a:ea typeface="+mn-ea"/>
              <a:cs typeface="+mn-cs"/>
            </a:rPr>
            <a:t> </a:t>
          </a:r>
          <a:r>
            <a:rPr lang="en-US" sz="2000" b="1" i="1">
              <a:solidFill>
                <a:schemeClr val="bg1"/>
              </a:solidFill>
              <a:latin typeface="Footlight MT Light" panose="0204060206030A020304" pitchFamily="18" charset="0"/>
              <a:ea typeface="+mn-ea"/>
              <a:cs typeface="+mn-cs"/>
            </a:rPr>
            <a:t>by</a:t>
          </a:r>
          <a:r>
            <a:rPr lang="en-US" sz="1100" b="1" i="1" u="none" strike="noStrike">
              <a:solidFill>
                <a:schemeClr val="tx1"/>
              </a:solidFill>
              <a:effectLst/>
              <a:latin typeface="+mn-lt"/>
              <a:ea typeface="+mn-ea"/>
              <a:cs typeface="+mn-cs"/>
            </a:rPr>
            <a:t> </a:t>
          </a:r>
          <a:r>
            <a:rPr lang="en-US" sz="2000" b="1" i="1">
              <a:solidFill>
                <a:schemeClr val="bg1"/>
              </a:solidFill>
              <a:latin typeface="Footlight MT Light" panose="0204060206030A020304" pitchFamily="18" charset="0"/>
              <a:ea typeface="+mn-ea"/>
              <a:cs typeface="+mn-cs"/>
            </a:rPr>
            <a:t>sales</a:t>
          </a:r>
          <a:r>
            <a:rPr lang="en-US" sz="1100" b="1" i="1" u="none" strike="noStrike">
              <a:solidFill>
                <a:schemeClr val="tx1"/>
              </a:solidFill>
              <a:effectLst/>
              <a:latin typeface="+mn-lt"/>
              <a:ea typeface="+mn-ea"/>
              <a:cs typeface="+mn-cs"/>
            </a:rPr>
            <a:t> </a:t>
          </a:r>
          <a:r>
            <a:rPr lang="en-US" sz="2000" b="1" i="1"/>
            <a:t> </a:t>
          </a:r>
          <a:endParaRPr lang="en-US" sz="2000" b="1" i="1" baseline="0">
            <a:solidFill>
              <a:schemeClr val="bg1"/>
            </a:solidFill>
            <a:latin typeface="Footlight MT Light" panose="0204060206030A020304" pitchFamily="18" charset="0"/>
            <a:ea typeface="+mn-ea"/>
            <a:cs typeface="+mn-cs"/>
          </a:endParaRPr>
        </a:p>
      </xdr:txBody>
    </xdr:sp>
    <xdr:clientData/>
  </xdr:oneCellAnchor>
  <xdr:oneCellAnchor>
    <xdr:from>
      <xdr:col>10</xdr:col>
      <xdr:colOff>281421</xdr:colOff>
      <xdr:row>16</xdr:row>
      <xdr:rowOff>116799</xdr:rowOff>
    </xdr:from>
    <xdr:ext cx="1349375" cy="308931"/>
    <xdr:sp macro="" textlink="">
      <xdr:nvSpPr>
        <xdr:cNvPr id="91" name="TextBox 90">
          <a:extLst>
            <a:ext uri="{FF2B5EF4-FFF2-40B4-BE49-F238E27FC236}">
              <a16:creationId xmlns:a16="http://schemas.microsoft.com/office/drawing/2014/main" id="{F989367E-623F-4469-836F-0A1A692B7CF2}"/>
            </a:ext>
          </a:extLst>
        </xdr:cNvPr>
        <xdr:cNvSpPr txBox="1"/>
      </xdr:nvSpPr>
      <xdr:spPr>
        <a:xfrm>
          <a:off x="6880441" y="3005426"/>
          <a:ext cx="1349375" cy="308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600" b="0" i="1">
              <a:solidFill>
                <a:schemeClr val="bg2"/>
              </a:solidFill>
              <a:latin typeface="Footlight MT Light" panose="0204060206030A020304" pitchFamily="18" charset="0"/>
              <a:ea typeface="+mn-ea"/>
              <a:cs typeface="+mn-cs"/>
            </a:rPr>
            <a:t>VIP </a:t>
          </a:r>
        </a:p>
      </xdr:txBody>
    </xdr:sp>
    <xdr:clientData/>
  </xdr:oneCellAnchor>
  <xdr:oneCellAnchor>
    <xdr:from>
      <xdr:col>8</xdr:col>
      <xdr:colOff>69021</xdr:colOff>
      <xdr:row>18</xdr:row>
      <xdr:rowOff>33899</xdr:rowOff>
    </xdr:from>
    <xdr:ext cx="1207903" cy="311496"/>
    <xdr:sp macro="" textlink="'PIVOT TABLE'!AW19">
      <xdr:nvSpPr>
        <xdr:cNvPr id="98" name="TextBox 97">
          <a:extLst>
            <a:ext uri="{FF2B5EF4-FFF2-40B4-BE49-F238E27FC236}">
              <a16:creationId xmlns:a16="http://schemas.microsoft.com/office/drawing/2014/main" id="{79956044-CDE7-4CF7-962D-F928AB259EA7}"/>
            </a:ext>
          </a:extLst>
        </xdr:cNvPr>
        <xdr:cNvSpPr txBox="1"/>
      </xdr:nvSpPr>
      <xdr:spPr>
        <a:xfrm>
          <a:off x="5346943" y="3299613"/>
          <a:ext cx="12079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664A0E36-A762-4E1E-9C88-0B81470C4B68}"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هومزمارت</a:t>
          </a:fld>
          <a:endParaRPr lang="en-US"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7</xdr:col>
      <xdr:colOff>423054</xdr:colOff>
      <xdr:row>16</xdr:row>
      <xdr:rowOff>88410</xdr:rowOff>
    </xdr:from>
    <xdr:ext cx="1349375" cy="324340"/>
    <xdr:sp macro="" textlink="">
      <xdr:nvSpPr>
        <xdr:cNvPr id="99" name="TextBox 98">
          <a:extLst>
            <a:ext uri="{FF2B5EF4-FFF2-40B4-BE49-F238E27FC236}">
              <a16:creationId xmlns:a16="http://schemas.microsoft.com/office/drawing/2014/main" id="{231D76B1-0187-4122-8218-98DFEB058A57}"/>
            </a:ext>
          </a:extLst>
        </xdr:cNvPr>
        <xdr:cNvSpPr txBox="1"/>
      </xdr:nvSpPr>
      <xdr:spPr>
        <a:xfrm>
          <a:off x="5045854" y="2933210"/>
          <a:ext cx="1349375" cy="32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1600" b="0" i="1">
              <a:solidFill>
                <a:schemeClr val="bg2"/>
              </a:solidFill>
              <a:latin typeface="Footlight MT Light" panose="0204060206030A020304" pitchFamily="18" charset="0"/>
              <a:ea typeface="+mn-ea"/>
              <a:cs typeface="+mn-cs"/>
            </a:rPr>
            <a:t>platform</a:t>
          </a:r>
          <a:r>
            <a:rPr lang="en-US" sz="1100" b="1" i="1" u="none" strike="noStrike">
              <a:solidFill>
                <a:schemeClr val="tx1"/>
              </a:solidFill>
              <a:effectLst/>
              <a:latin typeface="+mn-lt"/>
              <a:ea typeface="+mn-ea"/>
              <a:cs typeface="+mn-cs"/>
            </a:rPr>
            <a:t> </a:t>
          </a:r>
          <a:r>
            <a:rPr lang="en-US" sz="1800"/>
            <a:t> </a:t>
          </a:r>
          <a:endParaRPr lang="en-US" sz="1800" b="0" i="1">
            <a:solidFill>
              <a:schemeClr val="bg1"/>
            </a:solidFill>
            <a:latin typeface="Footlight MT Light" panose="0204060206030A020304" pitchFamily="18" charset="0"/>
            <a:ea typeface="+mn-ea"/>
            <a:cs typeface="+mn-cs"/>
          </a:endParaRPr>
        </a:p>
      </xdr:txBody>
    </xdr:sp>
    <xdr:clientData/>
  </xdr:oneCellAnchor>
  <xdr:oneCellAnchor>
    <xdr:from>
      <xdr:col>10</xdr:col>
      <xdr:colOff>559660</xdr:colOff>
      <xdr:row>18</xdr:row>
      <xdr:rowOff>40713</xdr:rowOff>
    </xdr:from>
    <xdr:ext cx="1259237" cy="311496"/>
    <xdr:sp macro="" textlink="'PIVOT TABLE'!AR19">
      <xdr:nvSpPr>
        <xdr:cNvPr id="113" name="TextBox 112">
          <a:extLst>
            <a:ext uri="{FF2B5EF4-FFF2-40B4-BE49-F238E27FC236}">
              <a16:creationId xmlns:a16="http://schemas.microsoft.com/office/drawing/2014/main" id="{94EC14BC-6AF0-4000-98A9-EF806C1E9B3B}"/>
            </a:ext>
          </a:extLst>
        </xdr:cNvPr>
        <xdr:cNvSpPr txBox="1"/>
      </xdr:nvSpPr>
      <xdr:spPr>
        <a:xfrm>
          <a:off x="7157063" y="3306427"/>
          <a:ext cx="12592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8B2D8635-76A1-4DAD-BF83-3E40735CBFF0}"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اوسكار راتن</a:t>
          </a:fld>
          <a:endParaRPr lang="en-US"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10</xdr:col>
      <xdr:colOff>559660</xdr:colOff>
      <xdr:row>19</xdr:row>
      <xdr:rowOff>137576</xdr:rowOff>
    </xdr:from>
    <xdr:ext cx="1259237" cy="311496"/>
    <xdr:sp macro="" textlink="'PIVOT TABLE'!AR20">
      <xdr:nvSpPr>
        <xdr:cNvPr id="115" name="TextBox 114">
          <a:extLst>
            <a:ext uri="{FF2B5EF4-FFF2-40B4-BE49-F238E27FC236}">
              <a16:creationId xmlns:a16="http://schemas.microsoft.com/office/drawing/2014/main" id="{ECC0E8C0-B057-4BDB-8A8C-F9FFCD56D113}"/>
            </a:ext>
          </a:extLst>
        </xdr:cNvPr>
        <xdr:cNvSpPr txBox="1"/>
      </xdr:nvSpPr>
      <xdr:spPr>
        <a:xfrm>
          <a:off x="7157063" y="3584719"/>
          <a:ext cx="12592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A4E74E14-1ABB-4409-B140-3F80F1145E06}"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تاكي</a:t>
          </a:fld>
          <a:endParaRPr lang="en-US"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10</xdr:col>
      <xdr:colOff>559660</xdr:colOff>
      <xdr:row>21</xdr:row>
      <xdr:rowOff>67618</xdr:rowOff>
    </xdr:from>
    <xdr:ext cx="1259237" cy="311496"/>
    <xdr:sp macro="" textlink="'PIVOT TABLE'!AR21">
      <xdr:nvSpPr>
        <xdr:cNvPr id="119" name="TextBox 118">
          <a:extLst>
            <a:ext uri="{FF2B5EF4-FFF2-40B4-BE49-F238E27FC236}">
              <a16:creationId xmlns:a16="http://schemas.microsoft.com/office/drawing/2014/main" id="{C67B85FA-4483-4307-A3DF-9DBC48D6B222}"/>
            </a:ext>
          </a:extLst>
        </xdr:cNvPr>
        <xdr:cNvSpPr txBox="1"/>
      </xdr:nvSpPr>
      <xdr:spPr>
        <a:xfrm>
          <a:off x="7157063" y="3877618"/>
          <a:ext cx="12592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15C5392C-2FF4-4523-9AB5-BE233F1F8CBF}"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شيك هومز</a:t>
          </a:fld>
          <a:endParaRPr lang="en-US"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10</xdr:col>
      <xdr:colOff>105833</xdr:colOff>
      <xdr:row>18</xdr:row>
      <xdr:rowOff>75951</xdr:rowOff>
    </xdr:from>
    <xdr:ext cx="606239" cy="1007284"/>
    <xdr:sp macro="" textlink="">
      <xdr:nvSpPr>
        <xdr:cNvPr id="122" name="TextBox 121">
          <a:extLst>
            <a:ext uri="{FF2B5EF4-FFF2-40B4-BE49-F238E27FC236}">
              <a16:creationId xmlns:a16="http://schemas.microsoft.com/office/drawing/2014/main" id="{BDB1FCF1-2F1C-456F-B3B4-E5F775EC298D}"/>
            </a:ext>
          </a:extLst>
        </xdr:cNvPr>
        <xdr:cNvSpPr txBox="1"/>
      </xdr:nvSpPr>
      <xdr:spPr>
        <a:xfrm>
          <a:off x="6704853" y="3325657"/>
          <a:ext cx="606239" cy="1007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6000" b="0" i="1">
              <a:solidFill>
                <a:srgbClr val="C00000"/>
              </a:solidFill>
              <a:latin typeface="Footlight MT Light" panose="0204060206030A020304" pitchFamily="18" charset="0"/>
              <a:ea typeface="+mn-ea"/>
              <a:cs typeface="+mn-cs"/>
            </a:rPr>
            <a:t>1</a:t>
          </a:r>
        </a:p>
      </xdr:txBody>
    </xdr:sp>
    <xdr:clientData/>
  </xdr:oneCellAnchor>
  <xdr:oneCellAnchor>
    <xdr:from>
      <xdr:col>7</xdr:col>
      <xdr:colOff>120649</xdr:colOff>
      <xdr:row>18</xdr:row>
      <xdr:rowOff>63500</xdr:rowOff>
    </xdr:from>
    <xdr:ext cx="742951" cy="1047750"/>
    <xdr:sp macro="" textlink="">
      <xdr:nvSpPr>
        <xdr:cNvPr id="123" name="TextBox 122">
          <a:extLst>
            <a:ext uri="{FF2B5EF4-FFF2-40B4-BE49-F238E27FC236}">
              <a16:creationId xmlns:a16="http://schemas.microsoft.com/office/drawing/2014/main" id="{74EEEC46-8D4B-4E42-9195-42E276C0A6DE}"/>
            </a:ext>
          </a:extLst>
        </xdr:cNvPr>
        <xdr:cNvSpPr txBox="1"/>
      </xdr:nvSpPr>
      <xdr:spPr>
        <a:xfrm>
          <a:off x="4743449" y="3263900"/>
          <a:ext cx="742951" cy="1047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6000" b="0" i="1">
              <a:solidFill>
                <a:srgbClr val="C00000"/>
              </a:solidFill>
              <a:latin typeface="Footlight MT Light" panose="0204060206030A020304" pitchFamily="18" charset="0"/>
              <a:ea typeface="+mn-ea"/>
              <a:cs typeface="+mn-cs"/>
            </a:rPr>
            <a:t>2</a:t>
          </a:r>
        </a:p>
      </xdr:txBody>
    </xdr:sp>
    <xdr:clientData/>
  </xdr:oneCellAnchor>
  <xdr:oneCellAnchor>
    <xdr:from>
      <xdr:col>4</xdr:col>
      <xdr:colOff>285749</xdr:colOff>
      <xdr:row>18</xdr:row>
      <xdr:rowOff>95250</xdr:rowOff>
    </xdr:from>
    <xdr:ext cx="742951" cy="1047750"/>
    <xdr:sp macro="" textlink="">
      <xdr:nvSpPr>
        <xdr:cNvPr id="126" name="TextBox 125">
          <a:extLst>
            <a:ext uri="{FF2B5EF4-FFF2-40B4-BE49-F238E27FC236}">
              <a16:creationId xmlns:a16="http://schemas.microsoft.com/office/drawing/2014/main" id="{03EE2D2A-047B-496D-9EB6-12854D137CA8}"/>
            </a:ext>
          </a:extLst>
        </xdr:cNvPr>
        <xdr:cNvSpPr txBox="1"/>
      </xdr:nvSpPr>
      <xdr:spPr>
        <a:xfrm>
          <a:off x="2927349" y="3295650"/>
          <a:ext cx="742951" cy="1047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6000" b="0" i="1">
              <a:solidFill>
                <a:srgbClr val="C00000"/>
              </a:solidFill>
              <a:latin typeface="Footlight MT Light" panose="0204060206030A020304" pitchFamily="18" charset="0"/>
              <a:ea typeface="+mn-ea"/>
              <a:cs typeface="+mn-cs"/>
            </a:rPr>
            <a:t>3</a:t>
          </a:r>
        </a:p>
      </xdr:txBody>
    </xdr:sp>
    <xdr:clientData/>
  </xdr:oneCellAnchor>
  <xdr:oneCellAnchor>
    <xdr:from>
      <xdr:col>8</xdr:col>
      <xdr:colOff>147247</xdr:colOff>
      <xdr:row>19</xdr:row>
      <xdr:rowOff>91801</xdr:rowOff>
    </xdr:from>
    <xdr:ext cx="1099746" cy="311496"/>
    <xdr:sp macro="" textlink="'PIVOT TABLE'!AW20">
      <xdr:nvSpPr>
        <xdr:cNvPr id="129" name="TextBox 128">
          <a:extLst>
            <a:ext uri="{FF2B5EF4-FFF2-40B4-BE49-F238E27FC236}">
              <a16:creationId xmlns:a16="http://schemas.microsoft.com/office/drawing/2014/main" id="{8DD20E92-F42A-4AAD-9396-7A5F9B0D74AF}"/>
            </a:ext>
          </a:extLst>
        </xdr:cNvPr>
        <xdr:cNvSpPr txBox="1"/>
      </xdr:nvSpPr>
      <xdr:spPr>
        <a:xfrm>
          <a:off x="5425169" y="3538944"/>
          <a:ext cx="10997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5F919871-678C-4950-8103-AAFFD3E78B1F}"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شيك هومز</a:t>
          </a:fld>
          <a:endParaRPr lang="en-US"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8</xdr:col>
      <xdr:colOff>103921</xdr:colOff>
      <xdr:row>21</xdr:row>
      <xdr:rowOff>56880</xdr:rowOff>
    </xdr:from>
    <xdr:ext cx="1127355" cy="311496"/>
    <xdr:sp macro="" textlink="'PIVOT TABLE'!AW21">
      <xdr:nvSpPr>
        <xdr:cNvPr id="134" name="TextBox 133">
          <a:extLst>
            <a:ext uri="{FF2B5EF4-FFF2-40B4-BE49-F238E27FC236}">
              <a16:creationId xmlns:a16="http://schemas.microsoft.com/office/drawing/2014/main" id="{553695F1-545E-4288-9CB9-E28FF4ECFCE6}"/>
            </a:ext>
          </a:extLst>
        </xdr:cNvPr>
        <xdr:cNvSpPr txBox="1"/>
      </xdr:nvSpPr>
      <xdr:spPr>
        <a:xfrm>
          <a:off x="5381843" y="3866880"/>
          <a:ext cx="112735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5A870504-1F90-45A6-BF5C-E23CE3860B7B}"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اوسكار ريتن </a:t>
          </a:fld>
          <a:endPar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4</xdr:col>
      <xdr:colOff>581805</xdr:colOff>
      <xdr:row>16</xdr:row>
      <xdr:rowOff>88410</xdr:rowOff>
    </xdr:from>
    <xdr:ext cx="1349375" cy="324340"/>
    <xdr:sp macro="" textlink="">
      <xdr:nvSpPr>
        <xdr:cNvPr id="73" name="TextBox 72">
          <a:extLst>
            <a:ext uri="{FF2B5EF4-FFF2-40B4-BE49-F238E27FC236}">
              <a16:creationId xmlns:a16="http://schemas.microsoft.com/office/drawing/2014/main" id="{F6B2A219-8819-4995-B957-583917232A19}"/>
            </a:ext>
          </a:extLst>
        </xdr:cNvPr>
        <xdr:cNvSpPr txBox="1"/>
      </xdr:nvSpPr>
      <xdr:spPr>
        <a:xfrm>
          <a:off x="3217055" y="2882410"/>
          <a:ext cx="1349375" cy="32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1600" b="0" i="1">
              <a:solidFill>
                <a:schemeClr val="bg2"/>
              </a:solidFill>
              <a:latin typeface="Footlight MT Light" panose="0204060206030A020304" pitchFamily="18" charset="0"/>
              <a:ea typeface="+mn-ea"/>
              <a:cs typeface="+mn-cs"/>
            </a:rPr>
            <a:t>top</a:t>
          </a:r>
          <a:r>
            <a:rPr lang="en-US" sz="1600" b="0" i="1" baseline="0">
              <a:solidFill>
                <a:schemeClr val="bg2"/>
              </a:solidFill>
              <a:latin typeface="Footlight MT Light" panose="0204060206030A020304" pitchFamily="18" charset="0"/>
              <a:ea typeface="+mn-ea"/>
              <a:cs typeface="+mn-cs"/>
            </a:rPr>
            <a:t> color</a:t>
          </a:r>
          <a:endParaRPr lang="en-US" sz="1800" b="0" i="1">
            <a:solidFill>
              <a:schemeClr val="bg1"/>
            </a:solidFill>
            <a:latin typeface="Footlight MT Light" panose="0204060206030A020304" pitchFamily="18" charset="0"/>
            <a:ea typeface="+mn-ea"/>
            <a:cs typeface="+mn-cs"/>
          </a:endParaRPr>
        </a:p>
      </xdr:txBody>
    </xdr:sp>
    <xdr:clientData/>
  </xdr:oneCellAnchor>
  <xdr:oneCellAnchor>
    <xdr:from>
      <xdr:col>5</xdr:col>
      <xdr:colOff>338896</xdr:colOff>
      <xdr:row>18</xdr:row>
      <xdr:rowOff>18025</xdr:rowOff>
    </xdr:from>
    <xdr:ext cx="1207903" cy="311496"/>
    <xdr:sp macro="" textlink="#REF!">
      <xdr:nvSpPr>
        <xdr:cNvPr id="74" name="TextBox 73">
          <a:extLst>
            <a:ext uri="{FF2B5EF4-FFF2-40B4-BE49-F238E27FC236}">
              <a16:creationId xmlns:a16="http://schemas.microsoft.com/office/drawing/2014/main" id="{864D29DB-3152-4074-A557-7FACF22432B6}"/>
            </a:ext>
          </a:extLst>
        </xdr:cNvPr>
        <xdr:cNvSpPr txBox="1"/>
      </xdr:nvSpPr>
      <xdr:spPr>
        <a:xfrm>
          <a:off x="3632959" y="3161275"/>
          <a:ext cx="12079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026975C0-0C14-491A-8E78-4804FCEB7365}"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أسود</a:t>
          </a:fld>
          <a:endParaRPr lang="en-US"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5</xdr:col>
      <xdr:colOff>338896</xdr:colOff>
      <xdr:row>19</xdr:row>
      <xdr:rowOff>168837</xdr:rowOff>
    </xdr:from>
    <xdr:ext cx="1207903" cy="311496"/>
    <xdr:sp macro="" textlink="#REF!">
      <xdr:nvSpPr>
        <xdr:cNvPr id="79" name="TextBox 78">
          <a:extLst>
            <a:ext uri="{FF2B5EF4-FFF2-40B4-BE49-F238E27FC236}">
              <a16:creationId xmlns:a16="http://schemas.microsoft.com/office/drawing/2014/main" id="{55546473-EA9E-4F72-8AAF-AEED56839E5A}"/>
            </a:ext>
          </a:extLst>
        </xdr:cNvPr>
        <xdr:cNvSpPr txBox="1"/>
      </xdr:nvSpPr>
      <xdr:spPr>
        <a:xfrm>
          <a:off x="3632959" y="3486712"/>
          <a:ext cx="12079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84B0F676-4CB3-4948-A9E4-BDA06BC7EE27}"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أبيض</a:t>
          </a:fld>
          <a:endPar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5</xdr:col>
      <xdr:colOff>346834</xdr:colOff>
      <xdr:row>21</xdr:row>
      <xdr:rowOff>137088</xdr:rowOff>
    </xdr:from>
    <xdr:ext cx="1207903" cy="311496"/>
    <xdr:sp macro="" textlink="#REF!">
      <xdr:nvSpPr>
        <xdr:cNvPr id="81" name="TextBox 80">
          <a:extLst>
            <a:ext uri="{FF2B5EF4-FFF2-40B4-BE49-F238E27FC236}">
              <a16:creationId xmlns:a16="http://schemas.microsoft.com/office/drawing/2014/main" id="{8C906167-4199-4BDB-A44B-61A07EFDA834}"/>
            </a:ext>
          </a:extLst>
        </xdr:cNvPr>
        <xdr:cNvSpPr txBox="1"/>
      </xdr:nvSpPr>
      <xdr:spPr>
        <a:xfrm>
          <a:off x="3640897" y="3804213"/>
          <a:ext cx="12079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07D7EC5D-51FE-4B79-BE77-CB8ACEFAF742}" type="TxLink">
            <a:rPr lang="ar-EG"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رمادى</a:t>
          </a:fld>
          <a:endParaRPr lang="en-US" sz="1400" b="1" i="1"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8</xdr:col>
      <xdr:colOff>29486</xdr:colOff>
      <xdr:row>5</xdr:row>
      <xdr:rowOff>132254</xdr:rowOff>
    </xdr:from>
    <xdr:to>
      <xdr:col>8</xdr:col>
      <xdr:colOff>232103</xdr:colOff>
      <xdr:row>6</xdr:row>
      <xdr:rowOff>127001</xdr:rowOff>
    </xdr:to>
    <xdr:sp macro="" textlink="">
      <xdr:nvSpPr>
        <xdr:cNvPr id="82" name="Flowchart: Connector 81">
          <a:extLst>
            <a:ext uri="{FF2B5EF4-FFF2-40B4-BE49-F238E27FC236}">
              <a16:creationId xmlns:a16="http://schemas.microsoft.com/office/drawing/2014/main" id="{3B1DAACE-0A14-4F63-95B9-6B46F5756785}"/>
            </a:ext>
          </a:extLst>
        </xdr:cNvPr>
        <xdr:cNvSpPr/>
      </xdr:nvSpPr>
      <xdr:spPr>
        <a:xfrm>
          <a:off x="5328767" y="1023081"/>
          <a:ext cx="202617" cy="172913"/>
        </a:xfrm>
        <a:prstGeom prst="flowChartConnec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42624</xdr:colOff>
      <xdr:row>5</xdr:row>
      <xdr:rowOff>132254</xdr:rowOff>
    </xdr:from>
    <xdr:to>
      <xdr:col>2</xdr:col>
      <xdr:colOff>245241</xdr:colOff>
      <xdr:row>6</xdr:row>
      <xdr:rowOff>127001</xdr:rowOff>
    </xdr:to>
    <xdr:sp macro="" textlink="">
      <xdr:nvSpPr>
        <xdr:cNvPr id="93" name="Flowchart: Connector 92">
          <a:extLst>
            <a:ext uri="{FF2B5EF4-FFF2-40B4-BE49-F238E27FC236}">
              <a16:creationId xmlns:a16="http://schemas.microsoft.com/office/drawing/2014/main" id="{0D9E859A-456B-45C1-AFE4-8131270519B7}"/>
            </a:ext>
          </a:extLst>
        </xdr:cNvPr>
        <xdr:cNvSpPr/>
      </xdr:nvSpPr>
      <xdr:spPr>
        <a:xfrm>
          <a:off x="1367444" y="1023081"/>
          <a:ext cx="202617" cy="172913"/>
        </a:xfrm>
        <a:prstGeom prst="flowChartConnec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628744</xdr:colOff>
      <xdr:row>2</xdr:row>
      <xdr:rowOff>47261</xdr:rowOff>
    </xdr:from>
    <xdr:to>
      <xdr:col>9</xdr:col>
      <xdr:colOff>243343</xdr:colOff>
      <xdr:row>3</xdr:row>
      <xdr:rowOff>152182</xdr:rowOff>
    </xdr:to>
    <xdr:sp macro="" textlink="">
      <xdr:nvSpPr>
        <xdr:cNvPr id="94" name="Flowchart: Connector 93">
          <a:extLst>
            <a:ext uri="{FF2B5EF4-FFF2-40B4-BE49-F238E27FC236}">
              <a16:creationId xmlns:a16="http://schemas.microsoft.com/office/drawing/2014/main" id="{85B087F7-BC9F-430C-AC89-EC01D19C241C}"/>
            </a:ext>
          </a:extLst>
        </xdr:cNvPr>
        <xdr:cNvSpPr/>
      </xdr:nvSpPr>
      <xdr:spPr>
        <a:xfrm>
          <a:off x="5906666" y="410118"/>
          <a:ext cx="274339" cy="286350"/>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13</xdr:col>
      <xdr:colOff>206373</xdr:colOff>
      <xdr:row>0</xdr:row>
      <xdr:rowOff>47622</xdr:rowOff>
    </xdr:from>
    <xdr:to>
      <xdr:col>15</xdr:col>
      <xdr:colOff>214312</xdr:colOff>
      <xdr:row>6</xdr:row>
      <xdr:rowOff>134933</xdr:rowOff>
    </xdr:to>
    <xdr:graphicFrame macro="">
      <xdr:nvGraphicFramePr>
        <xdr:cNvPr id="95" name="Chart 94">
          <a:extLst>
            <a:ext uri="{FF2B5EF4-FFF2-40B4-BE49-F238E27FC236}">
              <a16:creationId xmlns:a16="http://schemas.microsoft.com/office/drawing/2014/main" id="{E2E39774-7F83-4C43-9153-B8217729E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228721</xdr:colOff>
      <xdr:row>21</xdr:row>
      <xdr:rowOff>68620</xdr:rowOff>
    </xdr:from>
    <xdr:ext cx="1312391" cy="301108"/>
    <xdr:sp macro="" textlink="">
      <xdr:nvSpPr>
        <xdr:cNvPr id="125" name="TextBox 124">
          <a:extLst>
            <a:ext uri="{FF2B5EF4-FFF2-40B4-BE49-F238E27FC236}">
              <a16:creationId xmlns:a16="http://schemas.microsoft.com/office/drawing/2014/main" id="{E2D2E17E-85E7-4931-A4C1-3DB1C3798274}"/>
            </a:ext>
          </a:extLst>
        </xdr:cNvPr>
        <xdr:cNvSpPr txBox="1"/>
      </xdr:nvSpPr>
      <xdr:spPr>
        <a:xfrm>
          <a:off x="228721" y="3761389"/>
          <a:ext cx="1312391" cy="301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ar-EG" sz="1400" b="1" i="1" u="none" strike="noStrike">
              <a:solidFill>
                <a:schemeClr val="bg1"/>
              </a:solidFill>
              <a:latin typeface="Footlight MT Light" panose="0204060206030A020304" pitchFamily="18" charset="0"/>
              <a:ea typeface="+mn-ea"/>
              <a:cs typeface="Arial"/>
            </a:rPr>
            <a:t>التسليم</a:t>
          </a:r>
          <a:r>
            <a:rPr lang="ar-EG" sz="1400" b="1" i="1" u="none" strike="noStrike" baseline="0">
              <a:solidFill>
                <a:schemeClr val="bg1"/>
              </a:solidFill>
              <a:latin typeface="Footlight MT Light" panose="0204060206030A020304" pitchFamily="18" charset="0"/>
              <a:ea typeface="+mn-ea"/>
              <a:cs typeface="Arial"/>
            </a:rPr>
            <a:t> الفعلي </a:t>
          </a:r>
          <a:endParaRPr lang="en-US" sz="1400" b="1" i="1" u="none" strike="noStrike">
            <a:solidFill>
              <a:schemeClr val="bg1"/>
            </a:solidFill>
            <a:latin typeface="Footlight MT Light" panose="0204060206030A020304" pitchFamily="18" charset="0"/>
            <a:ea typeface="+mn-ea"/>
            <a:cs typeface="Arial"/>
          </a:endParaRPr>
        </a:p>
      </xdr:txBody>
    </xdr:sp>
    <xdr:clientData/>
  </xdr:oneCellAnchor>
  <xdr:twoCellAnchor>
    <xdr:from>
      <xdr:col>2</xdr:col>
      <xdr:colOff>324902</xdr:colOff>
      <xdr:row>21</xdr:row>
      <xdr:rowOff>122869</xdr:rowOff>
    </xdr:from>
    <xdr:to>
      <xdr:col>2</xdr:col>
      <xdr:colOff>527519</xdr:colOff>
      <xdr:row>22</xdr:row>
      <xdr:rowOff>117616</xdr:rowOff>
    </xdr:to>
    <xdr:sp macro="" textlink="">
      <xdr:nvSpPr>
        <xdr:cNvPr id="127" name="Flowchart: Connector 126">
          <a:extLst>
            <a:ext uri="{FF2B5EF4-FFF2-40B4-BE49-F238E27FC236}">
              <a16:creationId xmlns:a16="http://schemas.microsoft.com/office/drawing/2014/main" id="{F1E8D638-21EE-4399-B6CB-06AB0B186423}"/>
            </a:ext>
          </a:extLst>
        </xdr:cNvPr>
        <xdr:cNvSpPr/>
      </xdr:nvSpPr>
      <xdr:spPr>
        <a:xfrm>
          <a:off x="1645702" y="3856669"/>
          <a:ext cx="202617" cy="172547"/>
        </a:xfrm>
        <a:prstGeom prst="flowChartConnec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153942</xdr:colOff>
      <xdr:row>21</xdr:row>
      <xdr:rowOff>164178</xdr:rowOff>
    </xdr:from>
    <xdr:to>
      <xdr:col>0</xdr:col>
      <xdr:colOff>356559</xdr:colOff>
      <xdr:row>22</xdr:row>
      <xdr:rowOff>158926</xdr:rowOff>
    </xdr:to>
    <xdr:sp macro="" textlink="">
      <xdr:nvSpPr>
        <xdr:cNvPr id="130" name="Flowchart: Connector 129">
          <a:extLst>
            <a:ext uri="{FF2B5EF4-FFF2-40B4-BE49-F238E27FC236}">
              <a16:creationId xmlns:a16="http://schemas.microsoft.com/office/drawing/2014/main" id="{9B5A6114-6317-4A88-A55A-EC0B2128941A}"/>
            </a:ext>
          </a:extLst>
        </xdr:cNvPr>
        <xdr:cNvSpPr/>
      </xdr:nvSpPr>
      <xdr:spPr>
        <a:xfrm>
          <a:off x="153942" y="3856947"/>
          <a:ext cx="202617" cy="170594"/>
        </a:xfrm>
        <a:prstGeom prst="flowChartConnector">
          <a:avLst/>
        </a:prstGeom>
        <a:solidFill>
          <a:srgbClr val="DEA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4</xdr:col>
      <xdr:colOff>49472</xdr:colOff>
      <xdr:row>24</xdr:row>
      <xdr:rowOff>63913</xdr:rowOff>
    </xdr:from>
    <xdr:to>
      <xdr:col>9</xdr:col>
      <xdr:colOff>222663</xdr:colOff>
      <xdr:row>30</xdr:row>
      <xdr:rowOff>41234</xdr:rowOff>
    </xdr:to>
    <mc:AlternateContent xmlns:mc="http://schemas.openxmlformats.org/markup-compatibility/2006" xmlns:a14="http://schemas.microsoft.com/office/drawing/2010/main">
      <mc:Choice Requires="a14">
        <xdr:graphicFrame macro="">
          <xdr:nvGraphicFramePr>
            <xdr:cNvPr id="135" name="طريقة الدفع ">
              <a:extLst>
                <a:ext uri="{FF2B5EF4-FFF2-40B4-BE49-F238E27FC236}">
                  <a16:creationId xmlns:a16="http://schemas.microsoft.com/office/drawing/2014/main" id="{6047F6C5-F575-4C1B-8B3C-28751D53093E}"/>
                </a:ext>
              </a:extLst>
            </xdr:cNvPr>
            <xdr:cNvGraphicFramePr/>
          </xdr:nvGraphicFramePr>
          <xdr:xfrm>
            <a:off x="0" y="0"/>
            <a:ext cx="0" cy="0"/>
          </xdr:xfrm>
          <a:graphic>
            <a:graphicData uri="http://schemas.microsoft.com/office/drawing/2010/slicer">
              <sle:slicer xmlns:sle="http://schemas.microsoft.com/office/drawing/2010/slicer" name="طريقة الدفع "/>
            </a:graphicData>
          </a:graphic>
        </xdr:graphicFrame>
      </mc:Choice>
      <mc:Fallback xmlns="">
        <xdr:sp macro="" textlink="">
          <xdr:nvSpPr>
            <xdr:cNvPr id="0" name=""/>
            <xdr:cNvSpPr>
              <a:spLocks noTextEdit="1"/>
            </xdr:cNvSpPr>
          </xdr:nvSpPr>
          <xdr:spPr>
            <a:xfrm>
              <a:off x="2688433" y="4418199"/>
              <a:ext cx="3471892" cy="106589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49481</xdr:colOff>
      <xdr:row>26</xdr:row>
      <xdr:rowOff>8246</xdr:rowOff>
    </xdr:from>
    <xdr:ext cx="1394426" cy="336054"/>
    <xdr:sp macro="" textlink="">
      <xdr:nvSpPr>
        <xdr:cNvPr id="100" name="TextBox 99">
          <a:hlinkClick xmlns:r="http://schemas.openxmlformats.org/officeDocument/2006/relationships" r:id="rId8"/>
          <a:extLst>
            <a:ext uri="{FF2B5EF4-FFF2-40B4-BE49-F238E27FC236}">
              <a16:creationId xmlns:a16="http://schemas.microsoft.com/office/drawing/2014/main" id="{E7C3925B-5B80-4B60-A5DB-AFC49D7D243F}"/>
            </a:ext>
          </a:extLst>
        </xdr:cNvPr>
        <xdr:cNvSpPr txBox="1"/>
      </xdr:nvSpPr>
      <xdr:spPr>
        <a:xfrm>
          <a:off x="709221" y="4725389"/>
          <a:ext cx="1394426"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chemeClr val="bg1"/>
              </a:solidFill>
              <a:latin typeface="Footlight MT Light" panose="0204060206030A020304" pitchFamily="18" charset="0"/>
              <a:ea typeface="+mn-ea"/>
              <a:cs typeface="+mn-cs"/>
            </a:rPr>
            <a:t>Data</a:t>
          </a:r>
          <a:r>
            <a:rPr lang="en-US" sz="1800" b="0" i="1" baseline="0">
              <a:solidFill>
                <a:schemeClr val="bg1"/>
              </a:solidFill>
              <a:latin typeface="Footlight MT Light" panose="0204060206030A020304" pitchFamily="18" charset="0"/>
              <a:ea typeface="+mn-ea"/>
              <a:cs typeface="+mn-cs"/>
            </a:rPr>
            <a:t> </a:t>
          </a:r>
          <a:endParaRPr lang="en-US" sz="1800" b="0" i="1">
            <a:solidFill>
              <a:schemeClr val="bg1"/>
            </a:solidFill>
            <a:latin typeface="Footlight MT Light" panose="0204060206030A020304" pitchFamily="18" charset="0"/>
            <a:ea typeface="+mn-ea"/>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6</xdr:col>
      <xdr:colOff>547101</xdr:colOff>
      <xdr:row>2</xdr:row>
      <xdr:rowOff>134208</xdr:rowOff>
    </xdr:from>
    <xdr:to>
      <xdr:col>22</xdr:col>
      <xdr:colOff>60701</xdr:colOff>
      <xdr:row>33</xdr:row>
      <xdr:rowOff>19274</xdr:rowOff>
    </xdr:to>
    <xdr:sp macro="" textlink="">
      <xdr:nvSpPr>
        <xdr:cNvPr id="2" name="Rectangle: Rounded Corners 1">
          <a:extLst>
            <a:ext uri="{FF2B5EF4-FFF2-40B4-BE49-F238E27FC236}">
              <a16:creationId xmlns:a16="http://schemas.microsoft.com/office/drawing/2014/main" id="{6ED33263-4773-4356-90AC-8BC22B43EEAB}"/>
            </a:ext>
          </a:extLst>
        </xdr:cNvPr>
        <xdr:cNvSpPr/>
      </xdr:nvSpPr>
      <xdr:spPr>
        <a:xfrm>
          <a:off x="4535695" y="491396"/>
          <a:ext cx="10149850" cy="5421472"/>
        </a:xfrm>
        <a:prstGeom prst="roundRect">
          <a:avLst>
            <a:gd name="adj" fmla="val 19961"/>
          </a:avLst>
        </a:prstGeom>
        <a:solidFill>
          <a:schemeClr val="bg2">
            <a:lumMod val="75000"/>
          </a:schemeClr>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5</xdr:col>
      <xdr:colOff>151642</xdr:colOff>
      <xdr:row>0</xdr:row>
      <xdr:rowOff>0</xdr:rowOff>
    </xdr:from>
    <xdr:to>
      <xdr:col>7</xdr:col>
      <xdr:colOff>525859</xdr:colOff>
      <xdr:row>35</xdr:row>
      <xdr:rowOff>160985</xdr:rowOff>
    </xdr:to>
    <xdr:sp macro="" textlink="">
      <xdr:nvSpPr>
        <xdr:cNvPr id="3" name="Rectangle: Rounded Corners 2">
          <a:extLst>
            <a:ext uri="{FF2B5EF4-FFF2-40B4-BE49-F238E27FC236}">
              <a16:creationId xmlns:a16="http://schemas.microsoft.com/office/drawing/2014/main" id="{3DD811DB-EBB9-4157-92DF-FA49BDD39048}"/>
            </a:ext>
          </a:extLst>
        </xdr:cNvPr>
        <xdr:cNvSpPr/>
      </xdr:nvSpPr>
      <xdr:spPr>
        <a:xfrm>
          <a:off x="3460797" y="0"/>
          <a:ext cx="1697879" cy="6421548"/>
        </a:xfrm>
        <a:prstGeom prst="roundRect">
          <a:avLst>
            <a:gd name="adj" fmla="val 27277"/>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19843</xdr:colOff>
      <xdr:row>3</xdr:row>
      <xdr:rowOff>39687</xdr:rowOff>
    </xdr:from>
    <xdr:to>
      <xdr:col>10</xdr:col>
      <xdr:colOff>329294</xdr:colOff>
      <xdr:row>10</xdr:row>
      <xdr:rowOff>86305</xdr:rowOff>
    </xdr:to>
    <xdr:sp macro="" textlink="">
      <xdr:nvSpPr>
        <xdr:cNvPr id="4" name="Rectangle: Rounded Corners 3">
          <a:extLst>
            <a:ext uri="{FF2B5EF4-FFF2-40B4-BE49-F238E27FC236}">
              <a16:creationId xmlns:a16="http://schemas.microsoft.com/office/drawing/2014/main" id="{09BB0D20-4126-49BC-A9A6-F2925CB36629}"/>
            </a:ext>
          </a:extLst>
        </xdr:cNvPr>
        <xdr:cNvSpPr/>
      </xdr:nvSpPr>
      <xdr:spPr>
        <a:xfrm>
          <a:off x="5337968" y="575468"/>
          <a:ext cx="1638982" cy="1296775"/>
        </a:xfrm>
        <a:prstGeom prst="roundRect">
          <a:avLst/>
        </a:prstGeom>
        <a:solidFill>
          <a:schemeClr val="accent2">
            <a:lumMod val="75000"/>
          </a:schemeClr>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10</xdr:col>
      <xdr:colOff>486171</xdr:colOff>
      <xdr:row>3</xdr:row>
      <xdr:rowOff>39687</xdr:rowOff>
    </xdr:from>
    <xdr:to>
      <xdr:col>13</xdr:col>
      <xdr:colOff>130856</xdr:colOff>
      <xdr:row>10</xdr:row>
      <xdr:rowOff>86305</xdr:rowOff>
    </xdr:to>
    <xdr:sp macro="" textlink="">
      <xdr:nvSpPr>
        <xdr:cNvPr id="5" name="Rectangle: Rounded Corners 4">
          <a:extLst>
            <a:ext uri="{FF2B5EF4-FFF2-40B4-BE49-F238E27FC236}">
              <a16:creationId xmlns:a16="http://schemas.microsoft.com/office/drawing/2014/main" id="{3607D021-9F30-4CA1-B18E-DB5C4DF0AD4F}"/>
            </a:ext>
          </a:extLst>
        </xdr:cNvPr>
        <xdr:cNvSpPr/>
      </xdr:nvSpPr>
      <xdr:spPr>
        <a:xfrm>
          <a:off x="7133827" y="575468"/>
          <a:ext cx="1638982" cy="1296775"/>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13</xdr:col>
      <xdr:colOff>307577</xdr:colOff>
      <xdr:row>3</xdr:row>
      <xdr:rowOff>39687</xdr:rowOff>
    </xdr:from>
    <xdr:to>
      <xdr:col>15</xdr:col>
      <xdr:colOff>617028</xdr:colOff>
      <xdr:row>10</xdr:row>
      <xdr:rowOff>86305</xdr:rowOff>
    </xdr:to>
    <xdr:sp macro="" textlink="">
      <xdr:nvSpPr>
        <xdr:cNvPr id="6" name="Rectangle: Rounded Corners 5">
          <a:extLst>
            <a:ext uri="{FF2B5EF4-FFF2-40B4-BE49-F238E27FC236}">
              <a16:creationId xmlns:a16="http://schemas.microsoft.com/office/drawing/2014/main" id="{F9A3733C-38AC-4F18-BD20-BCF8088C655C}"/>
            </a:ext>
          </a:extLst>
        </xdr:cNvPr>
        <xdr:cNvSpPr/>
      </xdr:nvSpPr>
      <xdr:spPr>
        <a:xfrm>
          <a:off x="8949530" y="575468"/>
          <a:ext cx="1638982" cy="1296775"/>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16</xdr:col>
      <xdr:colOff>158749</xdr:colOff>
      <xdr:row>3</xdr:row>
      <xdr:rowOff>39687</xdr:rowOff>
    </xdr:from>
    <xdr:to>
      <xdr:col>18</xdr:col>
      <xdr:colOff>468200</xdr:colOff>
      <xdr:row>10</xdr:row>
      <xdr:rowOff>86305</xdr:rowOff>
    </xdr:to>
    <xdr:sp macro="" textlink="">
      <xdr:nvSpPr>
        <xdr:cNvPr id="7" name="Rectangle: Rounded Corners 6">
          <a:extLst>
            <a:ext uri="{FF2B5EF4-FFF2-40B4-BE49-F238E27FC236}">
              <a16:creationId xmlns:a16="http://schemas.microsoft.com/office/drawing/2014/main" id="{E1A452C9-1A0E-4A41-8687-38CA8186DD9B}"/>
            </a:ext>
          </a:extLst>
        </xdr:cNvPr>
        <xdr:cNvSpPr/>
      </xdr:nvSpPr>
      <xdr:spPr>
        <a:xfrm>
          <a:off x="10794999" y="575468"/>
          <a:ext cx="1638982" cy="1296775"/>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19</xdr:col>
      <xdr:colOff>115289</xdr:colOff>
      <xdr:row>4</xdr:row>
      <xdr:rowOff>17887</xdr:rowOff>
    </xdr:from>
    <xdr:to>
      <xdr:col>21</xdr:col>
      <xdr:colOff>421805</xdr:colOff>
      <xdr:row>17</xdr:row>
      <xdr:rowOff>160986</xdr:rowOff>
    </xdr:to>
    <xdr:sp macro="" textlink="">
      <xdr:nvSpPr>
        <xdr:cNvPr id="8" name="Rectangle: Rounded Corners 7">
          <a:extLst>
            <a:ext uri="{FF2B5EF4-FFF2-40B4-BE49-F238E27FC236}">
              <a16:creationId xmlns:a16="http://schemas.microsoft.com/office/drawing/2014/main" id="{3D276B5C-CCF4-4F93-A5B6-1537839CAFF0}"/>
            </a:ext>
          </a:extLst>
        </xdr:cNvPr>
        <xdr:cNvSpPr/>
      </xdr:nvSpPr>
      <xdr:spPr>
        <a:xfrm>
          <a:off x="12690078" y="733380"/>
          <a:ext cx="1630178" cy="2468451"/>
        </a:xfrm>
        <a:prstGeom prst="roundRect">
          <a:avLst>
            <a:gd name="adj" fmla="val 26353"/>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19</xdr:col>
      <xdr:colOff>141</xdr:colOff>
      <xdr:row>4</xdr:row>
      <xdr:rowOff>28648</xdr:rowOff>
    </xdr:from>
    <xdr:to>
      <xdr:col>19</xdr:col>
      <xdr:colOff>9095</xdr:colOff>
      <xdr:row>16</xdr:row>
      <xdr:rowOff>88179</xdr:rowOff>
    </xdr:to>
    <xdr:cxnSp macro="">
      <xdr:nvCxnSpPr>
        <xdr:cNvPr id="10" name="Straight Connector 9">
          <a:extLst>
            <a:ext uri="{FF2B5EF4-FFF2-40B4-BE49-F238E27FC236}">
              <a16:creationId xmlns:a16="http://schemas.microsoft.com/office/drawing/2014/main" id="{6A8F0E96-7C93-4BB7-B4A7-75E0FBBFF5AF}"/>
            </a:ext>
          </a:extLst>
        </xdr:cNvPr>
        <xdr:cNvCxnSpPr/>
      </xdr:nvCxnSpPr>
      <xdr:spPr>
        <a:xfrm>
          <a:off x="12574930" y="744141"/>
          <a:ext cx="8954" cy="2206010"/>
        </a:xfrm>
        <a:prstGeom prst="line">
          <a:avLst/>
        </a:prstGeom>
        <a:ln w="12700">
          <a:solidFill>
            <a:sysClr val="windowText" lastClr="000000"/>
          </a:solidFill>
        </a:ln>
        <a:effectLst>
          <a:outerShdw blurRad="50800" dist="38100" dir="13500000" algn="br"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327420</xdr:colOff>
      <xdr:row>11</xdr:row>
      <xdr:rowOff>19842</xdr:rowOff>
    </xdr:from>
    <xdr:to>
      <xdr:col>18</xdr:col>
      <xdr:colOff>562682</xdr:colOff>
      <xdr:row>18</xdr:row>
      <xdr:rowOff>128119</xdr:rowOff>
    </xdr:to>
    <xdr:sp macro="" textlink="">
      <xdr:nvSpPr>
        <xdr:cNvPr id="16" name="Rectangle: Rounded Corners 15">
          <a:extLst>
            <a:ext uri="{FF2B5EF4-FFF2-40B4-BE49-F238E27FC236}">
              <a16:creationId xmlns:a16="http://schemas.microsoft.com/office/drawing/2014/main" id="{59CC908F-DB64-401E-8A50-E2949A46013C}"/>
            </a:ext>
          </a:extLst>
        </xdr:cNvPr>
        <xdr:cNvSpPr/>
      </xdr:nvSpPr>
      <xdr:spPr>
        <a:xfrm>
          <a:off x="8963420" y="1954150"/>
          <a:ext cx="3556800" cy="1339200"/>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8</xdr:col>
      <xdr:colOff>29765</xdr:colOff>
      <xdr:row>11</xdr:row>
      <xdr:rowOff>19843</xdr:rowOff>
    </xdr:from>
    <xdr:to>
      <xdr:col>13</xdr:col>
      <xdr:colOff>119064</xdr:colOff>
      <xdr:row>18</xdr:row>
      <xdr:rowOff>87923</xdr:rowOff>
    </xdr:to>
    <xdr:sp macro="" textlink="">
      <xdr:nvSpPr>
        <xdr:cNvPr id="17" name="Rectangle: Rounded Corners 16">
          <a:extLst>
            <a:ext uri="{FF2B5EF4-FFF2-40B4-BE49-F238E27FC236}">
              <a16:creationId xmlns:a16="http://schemas.microsoft.com/office/drawing/2014/main" id="{417635D0-558E-4826-B166-4EA51E1E3651}"/>
            </a:ext>
          </a:extLst>
        </xdr:cNvPr>
        <xdr:cNvSpPr/>
      </xdr:nvSpPr>
      <xdr:spPr>
        <a:xfrm>
          <a:off x="5344227" y="1954151"/>
          <a:ext cx="3410837" cy="1299003"/>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oneCellAnchor>
    <xdr:from>
      <xdr:col>10</xdr:col>
      <xdr:colOff>502084</xdr:colOff>
      <xdr:row>3</xdr:row>
      <xdr:rowOff>63464</xdr:rowOff>
    </xdr:from>
    <xdr:ext cx="1254125" cy="336054"/>
    <xdr:sp macro="" textlink="">
      <xdr:nvSpPr>
        <xdr:cNvPr id="18" name="TextBox 17">
          <a:extLst>
            <a:ext uri="{FF2B5EF4-FFF2-40B4-BE49-F238E27FC236}">
              <a16:creationId xmlns:a16="http://schemas.microsoft.com/office/drawing/2014/main" id="{80FBEC6B-8C99-42DD-98F5-A4D58D053E71}"/>
            </a:ext>
          </a:extLst>
        </xdr:cNvPr>
        <xdr:cNvSpPr txBox="1"/>
      </xdr:nvSpPr>
      <xdr:spPr>
        <a:xfrm>
          <a:off x="7091707" y="602615"/>
          <a:ext cx="1254125" cy="336054"/>
        </a:xfrm>
        <a:prstGeom prst="rect">
          <a:avLst/>
        </a:prstGeom>
        <a:noFill/>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ysClr val="windowText" lastClr="000000"/>
              </a:solidFill>
              <a:latin typeface="Footlight MT Light" panose="0204060206030A020304" pitchFamily="18" charset="0"/>
              <a:ea typeface="+mn-ea"/>
              <a:cs typeface="+mn-cs"/>
            </a:rPr>
            <a:t> total sales </a:t>
          </a:r>
        </a:p>
      </xdr:txBody>
    </xdr:sp>
    <xdr:clientData/>
  </xdr:oneCellAnchor>
  <xdr:oneCellAnchor>
    <xdr:from>
      <xdr:col>10</xdr:col>
      <xdr:colOff>502084</xdr:colOff>
      <xdr:row>4</xdr:row>
      <xdr:rowOff>78906</xdr:rowOff>
    </xdr:from>
    <xdr:ext cx="1587500" cy="672185"/>
    <xdr:sp macro="" textlink="'PIVOT TABLE'!C10">
      <xdr:nvSpPr>
        <xdr:cNvPr id="19" name="TextBox 18">
          <a:extLst>
            <a:ext uri="{FF2B5EF4-FFF2-40B4-BE49-F238E27FC236}">
              <a16:creationId xmlns:a16="http://schemas.microsoft.com/office/drawing/2014/main" id="{97F472E2-3827-43B2-8173-B09830A10492}"/>
            </a:ext>
          </a:extLst>
        </xdr:cNvPr>
        <xdr:cNvSpPr txBox="1"/>
      </xdr:nvSpPr>
      <xdr:spPr>
        <a:xfrm>
          <a:off x="7091707" y="797774"/>
          <a:ext cx="1587500" cy="672185"/>
        </a:xfrm>
        <a:prstGeom prst="rect">
          <a:avLst/>
        </a:prstGeom>
        <a:noFill/>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fld id="{1165EFD6-DEDE-4B7A-AC45-370D52C0C544}" type="TxLink">
            <a:rPr lang="en-US" sz="2400" b="1" i="0" u="none" strike="noStrike">
              <a:solidFill>
                <a:sysClr val="windowText" lastClr="000000"/>
              </a:solidFill>
              <a:latin typeface="Baskerville Old Face" panose="02020602080505020303" pitchFamily="18" charset="0"/>
              <a:ea typeface="+mn-ea"/>
              <a:cs typeface="Arial"/>
            </a:rPr>
            <a:pPr marL="0" indent="0" algn="ctr"/>
            <a:t> 1,021,090 </a:t>
          </a:fld>
          <a:endParaRPr lang="ar-EG" sz="2400" b="1" i="0" u="none" strike="noStrike">
            <a:solidFill>
              <a:sysClr val="windowText" lastClr="000000"/>
            </a:solidFill>
            <a:latin typeface="Baskerville Old Face" panose="02020602080505020303" pitchFamily="18" charset="0"/>
            <a:ea typeface="+mn-ea"/>
            <a:cs typeface="Arial"/>
          </a:endParaRPr>
        </a:p>
      </xdr:txBody>
    </xdr:sp>
    <xdr:clientData/>
  </xdr:oneCellAnchor>
  <xdr:oneCellAnchor>
    <xdr:from>
      <xdr:col>10</xdr:col>
      <xdr:colOff>502084</xdr:colOff>
      <xdr:row>7</xdr:row>
      <xdr:rowOff>96063</xdr:rowOff>
    </xdr:from>
    <xdr:ext cx="1303957" cy="414278"/>
    <xdr:sp macro="" textlink="">
      <xdr:nvSpPr>
        <xdr:cNvPr id="20" name="TextBox 19">
          <a:extLst>
            <a:ext uri="{FF2B5EF4-FFF2-40B4-BE49-F238E27FC236}">
              <a16:creationId xmlns:a16="http://schemas.microsoft.com/office/drawing/2014/main" id="{88A4FA33-A62F-46D6-A3FB-511586B6C9F8}"/>
            </a:ext>
          </a:extLst>
        </xdr:cNvPr>
        <xdr:cNvSpPr txBox="1"/>
      </xdr:nvSpPr>
      <xdr:spPr>
        <a:xfrm>
          <a:off x="7091707" y="1354082"/>
          <a:ext cx="1303957" cy="414278"/>
        </a:xfrm>
        <a:prstGeom prst="rect">
          <a:avLst/>
        </a:prstGeom>
        <a:noFill/>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700" b="1" i="1" u="none" strike="noStrike">
              <a:solidFill>
                <a:sysClr val="windowText" lastClr="000000"/>
              </a:solidFill>
              <a:latin typeface="Baskerville Old Face" panose="02020602080505020303" pitchFamily="18" charset="0"/>
              <a:ea typeface="+mn-ea"/>
              <a:cs typeface="Arial"/>
            </a:rPr>
            <a:t>TOTAL SALES FOR ALL PRODACT</a:t>
          </a:r>
        </a:p>
      </xdr:txBody>
    </xdr:sp>
    <xdr:clientData/>
  </xdr:oneCellAnchor>
  <xdr:oneCellAnchor>
    <xdr:from>
      <xdr:col>13</xdr:col>
      <xdr:colOff>250774</xdr:colOff>
      <xdr:row>4</xdr:row>
      <xdr:rowOff>132238</xdr:rowOff>
    </xdr:from>
    <xdr:ext cx="1619249" cy="563562"/>
    <xdr:sp macro="" textlink="'PIVOT TABLE'!F10">
      <xdr:nvSpPr>
        <xdr:cNvPr id="21" name="TextBox 20">
          <a:extLst>
            <a:ext uri="{FF2B5EF4-FFF2-40B4-BE49-F238E27FC236}">
              <a16:creationId xmlns:a16="http://schemas.microsoft.com/office/drawing/2014/main" id="{FBBD7C9B-7062-41AE-AA88-12B9216BBDD1}"/>
            </a:ext>
          </a:extLst>
        </xdr:cNvPr>
        <xdr:cNvSpPr txBox="1"/>
      </xdr:nvSpPr>
      <xdr:spPr>
        <a:xfrm>
          <a:off x="8881001" y="853829"/>
          <a:ext cx="1619249" cy="563562"/>
        </a:xfrm>
        <a:prstGeom prst="rect">
          <a:avLst/>
        </a:prstGeom>
        <a:noFill/>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fld id="{22F3E47E-A42D-4F67-AA84-D4C5BA996372}" type="TxLink">
            <a:rPr lang="en-US" sz="3200" b="1" i="0" u="none" strike="noStrike">
              <a:solidFill>
                <a:sysClr val="windowText" lastClr="000000"/>
              </a:solidFill>
              <a:latin typeface="Baskerville Old Face" panose="02020602080505020303" pitchFamily="18" charset="0"/>
              <a:ea typeface="+mn-ea"/>
              <a:cs typeface="Arial"/>
            </a:rPr>
            <a:pPr marL="0" indent="0" algn="ctr"/>
            <a:t> 121 </a:t>
          </a:fld>
          <a:endParaRPr lang="ar-EG" sz="3200" b="1" i="0" u="none" strike="noStrike">
            <a:solidFill>
              <a:sysClr val="windowText" lastClr="000000"/>
            </a:solidFill>
            <a:latin typeface="Baskerville Old Face" panose="02020602080505020303" pitchFamily="18" charset="0"/>
            <a:ea typeface="+mn-ea"/>
            <a:cs typeface="Arial"/>
          </a:endParaRPr>
        </a:p>
      </xdr:txBody>
    </xdr:sp>
    <xdr:clientData/>
  </xdr:oneCellAnchor>
  <xdr:oneCellAnchor>
    <xdr:from>
      <xdr:col>13</xdr:col>
      <xdr:colOff>531035</xdr:colOff>
      <xdr:row>7</xdr:row>
      <xdr:rowOff>146455</xdr:rowOff>
    </xdr:from>
    <xdr:ext cx="1306292" cy="414278"/>
    <xdr:sp macro="" textlink="">
      <xdr:nvSpPr>
        <xdr:cNvPr id="22" name="TextBox 21">
          <a:extLst>
            <a:ext uri="{FF2B5EF4-FFF2-40B4-BE49-F238E27FC236}">
              <a16:creationId xmlns:a16="http://schemas.microsoft.com/office/drawing/2014/main" id="{295BCEDD-0089-4C6F-9016-3D799E0B53ED}"/>
            </a:ext>
          </a:extLst>
        </xdr:cNvPr>
        <xdr:cNvSpPr txBox="1"/>
      </xdr:nvSpPr>
      <xdr:spPr>
        <a:xfrm>
          <a:off x="9097544" y="1404474"/>
          <a:ext cx="1306292" cy="414278"/>
        </a:xfrm>
        <a:prstGeom prst="rect">
          <a:avLst/>
        </a:prstGeom>
        <a:noFill/>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800" b="1" i="1" u="none" strike="noStrike">
              <a:solidFill>
                <a:sysClr val="windowText" lastClr="000000"/>
              </a:solidFill>
              <a:latin typeface="Baskerville Old Face" panose="02020602080505020303" pitchFamily="18" charset="0"/>
              <a:ea typeface="+mn-ea"/>
              <a:cs typeface="Arial"/>
            </a:rPr>
            <a:t>total order </a:t>
          </a:r>
          <a:r>
            <a:rPr lang="en-US" sz="700" b="1" i="1" u="none" strike="noStrike">
              <a:solidFill>
                <a:sysClr val="windowText" lastClr="000000"/>
              </a:solidFill>
              <a:latin typeface="Baskerville Old Face" panose="02020602080505020303" pitchFamily="18" charset="0"/>
              <a:ea typeface="+mn-ea"/>
              <a:cs typeface="Arial"/>
            </a:rPr>
            <a:t>FOR ALL </a:t>
          </a:r>
          <a:r>
            <a:rPr lang="en-US" sz="600" b="1" i="1" u="none" strike="noStrike">
              <a:solidFill>
                <a:sysClr val="windowText" lastClr="000000"/>
              </a:solidFill>
              <a:latin typeface="Baskerville Old Face" panose="02020602080505020303" pitchFamily="18" charset="0"/>
              <a:ea typeface="+mn-ea"/>
              <a:cs typeface="Arial"/>
            </a:rPr>
            <a:t>PRODACT</a:t>
          </a:r>
          <a:endParaRPr lang="en-US" sz="700" b="1" i="1" u="none" strike="noStrike">
            <a:solidFill>
              <a:sysClr val="windowText" lastClr="000000"/>
            </a:solidFill>
            <a:latin typeface="Baskerville Old Face" panose="02020602080505020303" pitchFamily="18" charset="0"/>
            <a:ea typeface="+mn-ea"/>
            <a:cs typeface="Arial"/>
          </a:endParaRPr>
        </a:p>
      </xdr:txBody>
    </xdr:sp>
    <xdr:clientData/>
  </xdr:oneCellAnchor>
  <xdr:oneCellAnchor>
    <xdr:from>
      <xdr:col>13</xdr:col>
      <xdr:colOff>317500</xdr:colOff>
      <xdr:row>3</xdr:row>
      <xdr:rowOff>47924</xdr:rowOff>
    </xdr:from>
    <xdr:ext cx="1394426" cy="336054"/>
    <xdr:sp macro="" textlink="">
      <xdr:nvSpPr>
        <xdr:cNvPr id="23" name="TextBox 22">
          <a:extLst>
            <a:ext uri="{FF2B5EF4-FFF2-40B4-BE49-F238E27FC236}">
              <a16:creationId xmlns:a16="http://schemas.microsoft.com/office/drawing/2014/main" id="{1C31B4FD-4B5E-4A39-85C2-628569E6CE27}"/>
            </a:ext>
          </a:extLst>
        </xdr:cNvPr>
        <xdr:cNvSpPr txBox="1"/>
      </xdr:nvSpPr>
      <xdr:spPr>
        <a:xfrm>
          <a:off x="8884009" y="587075"/>
          <a:ext cx="1394426" cy="336054"/>
        </a:xfrm>
        <a:prstGeom prst="rect">
          <a:avLst/>
        </a:prstGeom>
        <a:noFill/>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ysClr val="windowText" lastClr="000000"/>
              </a:solidFill>
              <a:latin typeface="Footlight MT Light" panose="0204060206030A020304" pitchFamily="18" charset="0"/>
              <a:ea typeface="+mn-ea"/>
              <a:cs typeface="+mn-cs"/>
            </a:rPr>
            <a:t>total order</a:t>
          </a:r>
        </a:p>
      </xdr:txBody>
    </xdr:sp>
    <xdr:clientData/>
  </xdr:oneCellAnchor>
  <xdr:oneCellAnchor>
    <xdr:from>
      <xdr:col>16</xdr:col>
      <xdr:colOff>202634</xdr:colOff>
      <xdr:row>6</xdr:row>
      <xdr:rowOff>73622</xdr:rowOff>
    </xdr:from>
    <xdr:ext cx="1627187" cy="317501"/>
    <xdr:sp macro="" textlink="'PIVOT TABLE'!L10">
      <xdr:nvSpPr>
        <xdr:cNvPr id="24" name="TextBox 23">
          <a:extLst>
            <a:ext uri="{FF2B5EF4-FFF2-40B4-BE49-F238E27FC236}">
              <a16:creationId xmlns:a16="http://schemas.microsoft.com/office/drawing/2014/main" id="{6EB6EC4D-B466-495C-8918-76D0153DE673}"/>
            </a:ext>
          </a:extLst>
        </xdr:cNvPr>
        <xdr:cNvSpPr txBox="1"/>
      </xdr:nvSpPr>
      <xdr:spPr>
        <a:xfrm>
          <a:off x="10746030" y="1151924"/>
          <a:ext cx="1627187" cy="317501"/>
        </a:xfrm>
        <a:prstGeom prst="rect">
          <a:avLst/>
        </a:prstGeom>
        <a:noFill/>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fld id="{8118F794-547D-4C49-83B5-AC062ECBE6B7}" type="TxLink">
            <a:rPr lang="en-US" sz="3200" b="1" i="0" u="none" strike="noStrike">
              <a:solidFill>
                <a:sysClr val="windowText" lastClr="000000"/>
              </a:solidFill>
              <a:latin typeface="Baskerville Old Face" panose="02020602080505020303" pitchFamily="18" charset="0"/>
              <a:ea typeface="+mn-ea"/>
              <a:cs typeface="Arial"/>
            </a:rPr>
            <a:pPr marL="0" indent="0" algn="ctr"/>
            <a:t> 10,326 </a:t>
          </a:fld>
          <a:endParaRPr lang="ar-EG" sz="3200" b="1" i="0" u="none" strike="noStrike">
            <a:solidFill>
              <a:sysClr val="windowText" lastClr="000000"/>
            </a:solidFill>
            <a:latin typeface="Baskerville Old Face" panose="02020602080505020303" pitchFamily="18" charset="0"/>
            <a:ea typeface="+mn-ea"/>
            <a:cs typeface="Arial"/>
          </a:endParaRPr>
        </a:p>
      </xdr:txBody>
    </xdr:sp>
    <xdr:clientData/>
  </xdr:oneCellAnchor>
  <xdr:oneCellAnchor>
    <xdr:from>
      <xdr:col>16</xdr:col>
      <xdr:colOff>275791</xdr:colOff>
      <xdr:row>8</xdr:row>
      <xdr:rowOff>21740</xdr:rowOff>
    </xdr:from>
    <xdr:ext cx="1303957" cy="414278"/>
    <xdr:sp macro="" textlink="">
      <xdr:nvSpPr>
        <xdr:cNvPr id="25" name="TextBox 24">
          <a:extLst>
            <a:ext uri="{FF2B5EF4-FFF2-40B4-BE49-F238E27FC236}">
              <a16:creationId xmlns:a16="http://schemas.microsoft.com/office/drawing/2014/main" id="{27B397FB-60B6-4720-9146-36582B70A927}"/>
            </a:ext>
          </a:extLst>
        </xdr:cNvPr>
        <xdr:cNvSpPr txBox="1"/>
      </xdr:nvSpPr>
      <xdr:spPr>
        <a:xfrm>
          <a:off x="10819187" y="1459476"/>
          <a:ext cx="1303957" cy="414278"/>
        </a:xfrm>
        <a:prstGeom prst="rect">
          <a:avLst/>
        </a:prstGeom>
        <a:noFill/>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800" b="1" i="1" u="none" strike="noStrike">
              <a:solidFill>
                <a:sysClr val="windowText" lastClr="000000"/>
              </a:solidFill>
              <a:latin typeface="Baskerville Old Face" panose="02020602080505020303" pitchFamily="18" charset="0"/>
              <a:ea typeface="+mn-ea"/>
              <a:cs typeface="Arial"/>
            </a:rPr>
            <a:t>Avarage Saleing </a:t>
          </a:r>
          <a:r>
            <a:rPr lang="en-US" sz="700" b="1" i="1" u="none" strike="noStrike">
              <a:solidFill>
                <a:sysClr val="windowText" lastClr="000000"/>
              </a:solidFill>
              <a:latin typeface="Baskerville Old Face" panose="02020602080505020303" pitchFamily="18" charset="0"/>
              <a:ea typeface="+mn-ea"/>
              <a:cs typeface="Arial"/>
            </a:rPr>
            <a:t>FOR ALL PRODACT</a:t>
          </a:r>
        </a:p>
      </xdr:txBody>
    </xdr:sp>
    <xdr:clientData/>
  </xdr:oneCellAnchor>
  <xdr:oneCellAnchor>
    <xdr:from>
      <xdr:col>16</xdr:col>
      <xdr:colOff>197689</xdr:colOff>
      <xdr:row>3</xdr:row>
      <xdr:rowOff>23963</xdr:rowOff>
    </xdr:from>
    <xdr:ext cx="1112226" cy="579774"/>
    <xdr:sp macro="" textlink="">
      <xdr:nvSpPr>
        <xdr:cNvPr id="26" name="TextBox 25">
          <a:extLst>
            <a:ext uri="{FF2B5EF4-FFF2-40B4-BE49-F238E27FC236}">
              <a16:creationId xmlns:a16="http://schemas.microsoft.com/office/drawing/2014/main" id="{245AC69C-FDF7-42C2-85C1-DBB1CEF95636}"/>
            </a:ext>
          </a:extLst>
        </xdr:cNvPr>
        <xdr:cNvSpPr txBox="1"/>
      </xdr:nvSpPr>
      <xdr:spPr>
        <a:xfrm>
          <a:off x="10741085" y="563114"/>
          <a:ext cx="1112226" cy="579774"/>
        </a:xfrm>
        <a:prstGeom prst="rect">
          <a:avLst/>
        </a:prstGeom>
        <a:noFill/>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r>
            <a:rPr lang="en-US" sz="1800" b="0" i="1">
              <a:solidFill>
                <a:sysClr val="windowText" lastClr="000000"/>
              </a:solidFill>
              <a:latin typeface="Footlight MT Light" panose="0204060206030A020304" pitchFamily="18" charset="0"/>
              <a:ea typeface="+mn-ea"/>
              <a:cs typeface="+mn-cs"/>
            </a:rPr>
            <a:t>Avarage Saleing </a:t>
          </a:r>
        </a:p>
      </xdr:txBody>
    </xdr:sp>
    <xdr:clientData/>
  </xdr:oneCellAnchor>
  <xdr:oneCellAnchor>
    <xdr:from>
      <xdr:col>8</xdr:col>
      <xdr:colOff>312622</xdr:colOff>
      <xdr:row>3</xdr:row>
      <xdr:rowOff>0</xdr:rowOff>
    </xdr:from>
    <xdr:ext cx="957537" cy="374141"/>
    <xdr:sp macro="" textlink="'[1]Pivot Table'!C18">
      <xdr:nvSpPr>
        <xdr:cNvPr id="27" name="TextBox 26">
          <a:extLst>
            <a:ext uri="{FF2B5EF4-FFF2-40B4-BE49-F238E27FC236}">
              <a16:creationId xmlns:a16="http://schemas.microsoft.com/office/drawing/2014/main" id="{00B362A6-5D33-4847-8DF6-49D534369435}"/>
            </a:ext>
          </a:extLst>
        </xdr:cNvPr>
        <xdr:cNvSpPr txBox="1"/>
      </xdr:nvSpPr>
      <xdr:spPr>
        <a:xfrm>
          <a:off x="5623531" y="541193"/>
          <a:ext cx="957537" cy="374141"/>
        </a:xfrm>
        <a:prstGeom prst="rect">
          <a:avLst/>
        </a:prstGeom>
        <a:noFill/>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algn="ctr"/>
          <a:r>
            <a:rPr lang="en-US" sz="1800" b="0" i="1">
              <a:solidFill>
                <a:schemeClr val="bg1"/>
              </a:solidFill>
            </a:rPr>
            <a:t>ontime</a:t>
          </a:r>
          <a:endParaRPr lang="ar-EG" sz="1800" b="0" i="1">
            <a:solidFill>
              <a:schemeClr val="bg1"/>
            </a:solidFill>
          </a:endParaRPr>
        </a:p>
      </xdr:txBody>
    </xdr:sp>
    <xdr:clientData/>
  </xdr:oneCellAnchor>
  <xdr:twoCellAnchor>
    <xdr:from>
      <xdr:col>8</xdr:col>
      <xdr:colOff>259773</xdr:colOff>
      <xdr:row>3</xdr:row>
      <xdr:rowOff>149717</xdr:rowOff>
    </xdr:from>
    <xdr:to>
      <xdr:col>8</xdr:col>
      <xdr:colOff>400884</xdr:colOff>
      <xdr:row>4</xdr:row>
      <xdr:rowOff>120508</xdr:rowOff>
    </xdr:to>
    <xdr:sp macro="" textlink="">
      <xdr:nvSpPr>
        <xdr:cNvPr id="28" name="Flowchart: Connector 27">
          <a:extLst>
            <a:ext uri="{FF2B5EF4-FFF2-40B4-BE49-F238E27FC236}">
              <a16:creationId xmlns:a16="http://schemas.microsoft.com/office/drawing/2014/main" id="{7B4FFD93-3DB0-4E0C-9458-22FE4837E933}"/>
            </a:ext>
          </a:extLst>
        </xdr:cNvPr>
        <xdr:cNvSpPr/>
      </xdr:nvSpPr>
      <xdr:spPr>
        <a:xfrm>
          <a:off x="5570682" y="690910"/>
          <a:ext cx="141111" cy="151189"/>
        </a:xfrm>
        <a:prstGeom prst="flowChartConnector">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oneCellAnchor>
    <xdr:from>
      <xdr:col>8</xdr:col>
      <xdr:colOff>175520</xdr:colOff>
      <xdr:row>5</xdr:row>
      <xdr:rowOff>21647</xdr:rowOff>
    </xdr:from>
    <xdr:ext cx="1289310" cy="800966"/>
    <xdr:sp macro="" textlink="'PIVOT TABLE'!A10">
      <xdr:nvSpPr>
        <xdr:cNvPr id="29" name="TextBox 28">
          <a:extLst>
            <a:ext uri="{FF2B5EF4-FFF2-40B4-BE49-F238E27FC236}">
              <a16:creationId xmlns:a16="http://schemas.microsoft.com/office/drawing/2014/main" id="{7BA78068-5285-44A0-8D90-2071EBDE790D}"/>
            </a:ext>
          </a:extLst>
        </xdr:cNvPr>
        <xdr:cNvSpPr txBox="1"/>
      </xdr:nvSpPr>
      <xdr:spPr>
        <a:xfrm>
          <a:off x="5486429" y="923636"/>
          <a:ext cx="1289310" cy="800966"/>
        </a:xfrm>
        <a:prstGeom prst="rect">
          <a:avLst/>
        </a:prstGeom>
        <a:noFill/>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algn="ctr"/>
          <a:fld id="{84D1922F-D131-420E-AA02-EFF8B084104A}" type="TxLink">
            <a:rPr lang="en-US" sz="2000" b="1" i="0" u="none" strike="noStrike">
              <a:solidFill>
                <a:schemeClr val="bg1"/>
              </a:solidFill>
              <a:latin typeface="Bahnschrift Light Condensed" panose="020B0502040204020203" pitchFamily="34" charset="0"/>
              <a:cs typeface="Arial"/>
            </a:rPr>
            <a:pPr algn="ctr"/>
            <a:t>09/02/2026 00:47</a:t>
          </a:fld>
          <a:endParaRPr lang="en-US" sz="3600" b="1" i="0" u="none" strike="noStrike">
            <a:solidFill>
              <a:schemeClr val="bg1"/>
            </a:solidFill>
            <a:latin typeface="Bahnschrift Light Condensed" panose="020B0502040204020203" pitchFamily="34" charset="0"/>
            <a:cs typeface="Arial"/>
          </a:endParaRPr>
        </a:p>
      </xdr:txBody>
    </xdr:sp>
    <xdr:clientData/>
  </xdr:oneCellAnchor>
  <xdr:twoCellAnchor>
    <xdr:from>
      <xdr:col>19</xdr:col>
      <xdr:colOff>256520</xdr:colOff>
      <xdr:row>4</xdr:row>
      <xdr:rowOff>154685</xdr:rowOff>
    </xdr:from>
    <xdr:to>
      <xdr:col>21</xdr:col>
      <xdr:colOff>248997</xdr:colOff>
      <xdr:row>11</xdr:row>
      <xdr:rowOff>96646</xdr:rowOff>
    </xdr:to>
    <xdr:graphicFrame macro="">
      <xdr:nvGraphicFramePr>
        <xdr:cNvPr id="30" name="Chart 29">
          <a:extLst>
            <a:ext uri="{FF2B5EF4-FFF2-40B4-BE49-F238E27FC236}">
              <a16:creationId xmlns:a16="http://schemas.microsoft.com/office/drawing/2014/main" id="{F31D8EEE-6345-4909-AD86-D97CFFACC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19</xdr:col>
      <xdr:colOff>46389</xdr:colOff>
      <xdr:row>10</xdr:row>
      <xdr:rowOff>158140</xdr:rowOff>
    </xdr:from>
    <xdr:ext cx="882965" cy="342786"/>
    <xdr:sp macro="" textlink="'PIVOT TABLE'!Q14">
      <xdr:nvSpPr>
        <xdr:cNvPr id="31" name="TextBox 30">
          <a:extLst>
            <a:ext uri="{FF2B5EF4-FFF2-40B4-BE49-F238E27FC236}">
              <a16:creationId xmlns:a16="http://schemas.microsoft.com/office/drawing/2014/main" id="{7B6FA8E8-203F-476B-A8B3-CB81D409ACA8}"/>
            </a:ext>
          </a:extLst>
        </xdr:cNvPr>
        <xdr:cNvSpPr txBox="1"/>
      </xdr:nvSpPr>
      <xdr:spPr>
        <a:xfrm>
          <a:off x="12621178" y="1946872"/>
          <a:ext cx="88296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0F2458E5-F216-4BA2-A296-45424CB9CD6D}" type="TxLink">
            <a:rPr lang="ar-EG"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lgn="ctr"/>
            <a:t>ترابيزه</a:t>
          </a:fld>
          <a:endPar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20</xdr:col>
      <xdr:colOff>260639</xdr:colOff>
      <xdr:row>11</xdr:row>
      <xdr:rowOff>11496</xdr:rowOff>
    </xdr:from>
    <xdr:ext cx="882965" cy="336054"/>
    <xdr:sp macro="" textlink="'PIVOT TABLE'!R14">
      <xdr:nvSpPr>
        <xdr:cNvPr id="32" name="TextBox 31">
          <a:extLst>
            <a:ext uri="{FF2B5EF4-FFF2-40B4-BE49-F238E27FC236}">
              <a16:creationId xmlns:a16="http://schemas.microsoft.com/office/drawing/2014/main" id="{7B28F3D3-37A0-42A0-981C-62AF36CC7331}"/>
            </a:ext>
          </a:extLst>
        </xdr:cNvPr>
        <xdr:cNvSpPr txBox="1"/>
      </xdr:nvSpPr>
      <xdr:spPr>
        <a:xfrm>
          <a:off x="13497259" y="1979102"/>
          <a:ext cx="882965"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64BFFACA-33BF-4AC9-AA8A-3A0009767C58}" type="TxLink">
            <a:rPr lang="en-US" sz="1800" b="1" i="0" u="none" strike="noStrike">
              <a:solidFill>
                <a:schemeClr val="tx1"/>
              </a:solidFill>
              <a:latin typeface="Footlight MT Light" panose="0204060206030A020304" pitchFamily="18" charset="0"/>
              <a:ea typeface="+mn-ea"/>
              <a:cs typeface="Arial"/>
            </a:rPr>
            <a:pPr marL="0" indent="0" algn="ctr"/>
            <a:t>10%</a:t>
          </a:fld>
          <a:endParaRPr lang="en-US" sz="1800" b="1" i="0" u="none" strike="noStrike">
            <a:solidFill>
              <a:schemeClr val="tx1"/>
            </a:solidFill>
            <a:latin typeface="Footlight MT Light" panose="0204060206030A020304" pitchFamily="18" charset="0"/>
            <a:ea typeface="+mn-ea"/>
            <a:cs typeface="Arial"/>
          </a:endParaRPr>
        </a:p>
      </xdr:txBody>
    </xdr:sp>
    <xdr:clientData/>
  </xdr:oneCellAnchor>
  <xdr:oneCellAnchor>
    <xdr:from>
      <xdr:col>20</xdr:col>
      <xdr:colOff>268290</xdr:colOff>
      <xdr:row>12</xdr:row>
      <xdr:rowOff>129657</xdr:rowOff>
    </xdr:from>
    <xdr:ext cx="882965" cy="336054"/>
    <xdr:sp macro="" textlink="'PIVOT TABLE'!R20">
      <xdr:nvSpPr>
        <xdr:cNvPr id="33" name="TextBox 32">
          <a:extLst>
            <a:ext uri="{FF2B5EF4-FFF2-40B4-BE49-F238E27FC236}">
              <a16:creationId xmlns:a16="http://schemas.microsoft.com/office/drawing/2014/main" id="{0A6C8D6A-54F7-4CB3-B523-326464C6AAA3}"/>
            </a:ext>
          </a:extLst>
        </xdr:cNvPr>
        <xdr:cNvSpPr txBox="1"/>
      </xdr:nvSpPr>
      <xdr:spPr>
        <a:xfrm>
          <a:off x="13504910" y="2276136"/>
          <a:ext cx="882965"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1F4BDA17-B077-4ECD-91F9-76EF2590FAF0}" type="TxLink">
            <a:rPr lang="en-US" sz="1800" b="1" i="0" u="none" strike="noStrike">
              <a:solidFill>
                <a:schemeClr val="tx1"/>
              </a:solidFill>
              <a:latin typeface="Footlight MT Light" panose="0204060206030A020304" pitchFamily="18" charset="0"/>
              <a:ea typeface="+mn-ea"/>
              <a:cs typeface="Arial"/>
            </a:rPr>
            <a:pPr marL="0" indent="0" algn="ctr"/>
            <a:t>20%</a:t>
          </a:fld>
          <a:endParaRPr lang="en-US" sz="1800" b="1" i="0" u="none" strike="noStrike">
            <a:solidFill>
              <a:schemeClr val="tx1"/>
            </a:solidFill>
            <a:latin typeface="Footlight MT Light" panose="0204060206030A020304" pitchFamily="18" charset="0"/>
            <a:ea typeface="+mn-ea"/>
            <a:cs typeface="Arial"/>
          </a:endParaRPr>
        </a:p>
      </xdr:txBody>
    </xdr:sp>
    <xdr:clientData/>
  </xdr:oneCellAnchor>
  <xdr:oneCellAnchor>
    <xdr:from>
      <xdr:col>20</xdr:col>
      <xdr:colOff>260639</xdr:colOff>
      <xdr:row>14</xdr:row>
      <xdr:rowOff>65004</xdr:rowOff>
    </xdr:from>
    <xdr:ext cx="882965" cy="336054"/>
    <xdr:sp macro="" textlink="'PIVOT TABLE'!R16">
      <xdr:nvSpPr>
        <xdr:cNvPr id="34" name="TextBox 33">
          <a:extLst>
            <a:ext uri="{FF2B5EF4-FFF2-40B4-BE49-F238E27FC236}">
              <a16:creationId xmlns:a16="http://schemas.microsoft.com/office/drawing/2014/main" id="{0DECCDCC-DD8C-4E48-B059-D00B18558106}"/>
            </a:ext>
          </a:extLst>
        </xdr:cNvPr>
        <xdr:cNvSpPr txBox="1"/>
      </xdr:nvSpPr>
      <xdr:spPr>
        <a:xfrm>
          <a:off x="13497259" y="2569229"/>
          <a:ext cx="882965" cy="336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7A0EFBEC-5907-4AA9-B868-3FF543BF45FA}" type="TxLink">
            <a:rPr lang="en-US" sz="1800" b="1" i="0" u="none" strike="noStrike">
              <a:solidFill>
                <a:schemeClr val="tx1"/>
              </a:solidFill>
              <a:latin typeface="Footlight MT Light" panose="0204060206030A020304" pitchFamily="18" charset="0"/>
              <a:ea typeface="+mn-ea"/>
              <a:cs typeface="Arial"/>
            </a:rPr>
            <a:pPr marL="0" indent="0" algn="ctr"/>
            <a:t>64%</a:t>
          </a:fld>
          <a:endParaRPr lang="en-US" sz="1800" b="1" i="0" u="none" strike="noStrike">
            <a:solidFill>
              <a:schemeClr val="tx1"/>
            </a:solidFill>
            <a:latin typeface="Footlight MT Light" panose="0204060206030A020304" pitchFamily="18" charset="0"/>
            <a:ea typeface="+mn-ea"/>
            <a:cs typeface="Arial"/>
          </a:endParaRPr>
        </a:p>
      </xdr:txBody>
    </xdr:sp>
    <xdr:clientData/>
  </xdr:oneCellAnchor>
  <xdr:oneCellAnchor>
    <xdr:from>
      <xdr:col>19</xdr:col>
      <xdr:colOff>46389</xdr:colOff>
      <xdr:row>12</xdr:row>
      <xdr:rowOff>97104</xdr:rowOff>
    </xdr:from>
    <xdr:ext cx="882965" cy="342786"/>
    <xdr:sp macro="" textlink="'PIVOT TABLE'!Q20">
      <xdr:nvSpPr>
        <xdr:cNvPr id="35" name="TextBox 34">
          <a:extLst>
            <a:ext uri="{FF2B5EF4-FFF2-40B4-BE49-F238E27FC236}">
              <a16:creationId xmlns:a16="http://schemas.microsoft.com/office/drawing/2014/main" id="{3A2B31D2-3D46-4CB8-9ABC-C15D358C0E03}"/>
            </a:ext>
          </a:extLst>
        </xdr:cNvPr>
        <xdr:cNvSpPr txBox="1"/>
      </xdr:nvSpPr>
      <xdr:spPr>
        <a:xfrm>
          <a:off x="12621178" y="2243583"/>
          <a:ext cx="88296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56A38D56-67DE-49C2-8604-0A406CF1BB7A}" type="TxLink">
            <a:rPr lang="ar-EG"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lgn="ctr"/>
            <a:t>كنبة </a:t>
          </a:fld>
          <a:endPar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19</xdr:col>
      <xdr:colOff>61690</xdr:colOff>
      <xdr:row>14</xdr:row>
      <xdr:rowOff>32128</xdr:rowOff>
    </xdr:from>
    <xdr:ext cx="882965" cy="342786"/>
    <xdr:sp macro="" textlink="'PIVOT TABLE'!Q16">
      <xdr:nvSpPr>
        <xdr:cNvPr id="36" name="TextBox 35">
          <a:extLst>
            <a:ext uri="{FF2B5EF4-FFF2-40B4-BE49-F238E27FC236}">
              <a16:creationId xmlns:a16="http://schemas.microsoft.com/office/drawing/2014/main" id="{FCE5F4E8-4D69-46A1-AFAD-E8FED93DE4CA}"/>
            </a:ext>
          </a:extLst>
        </xdr:cNvPr>
        <xdr:cNvSpPr txBox="1"/>
      </xdr:nvSpPr>
      <xdr:spPr>
        <a:xfrm>
          <a:off x="12636479" y="2536353"/>
          <a:ext cx="88296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7F482A12-E161-46E5-BFAB-63897992410C}" type="TxLink">
            <a:rPr lang="ar-EG"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lgn="ctr"/>
            <a:t>سرير</a:t>
          </a:fld>
          <a:endPar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7</xdr:col>
      <xdr:colOff>635000</xdr:colOff>
      <xdr:row>10</xdr:row>
      <xdr:rowOff>156307</xdr:rowOff>
    </xdr:from>
    <xdr:to>
      <xdr:col>13</xdr:col>
      <xdr:colOff>205153</xdr:colOff>
      <xdr:row>18</xdr:row>
      <xdr:rowOff>87924</xdr:rowOff>
    </xdr:to>
    <xdr:graphicFrame macro="">
      <xdr:nvGraphicFramePr>
        <xdr:cNvPr id="37" name="Chart 36">
          <a:extLst>
            <a:ext uri="{FF2B5EF4-FFF2-40B4-BE49-F238E27FC236}">
              <a16:creationId xmlns:a16="http://schemas.microsoft.com/office/drawing/2014/main" id="{D5FEC99F-3736-4CC8-BCDB-61EB60AD4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420352</xdr:colOff>
      <xdr:row>11</xdr:row>
      <xdr:rowOff>26310</xdr:rowOff>
    </xdr:from>
    <xdr:to>
      <xdr:col>18</xdr:col>
      <xdr:colOff>527539</xdr:colOff>
      <xdr:row>18</xdr:row>
      <xdr:rowOff>107460</xdr:rowOff>
    </xdr:to>
    <xdr:graphicFrame macro="">
      <xdr:nvGraphicFramePr>
        <xdr:cNvPr id="38" name="Chart 37">
          <a:extLst>
            <a:ext uri="{FF2B5EF4-FFF2-40B4-BE49-F238E27FC236}">
              <a16:creationId xmlns:a16="http://schemas.microsoft.com/office/drawing/2014/main" id="{7A8988B8-295C-4026-99C7-1639E420E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47386</xdr:colOff>
      <xdr:row>18</xdr:row>
      <xdr:rowOff>161119</xdr:rowOff>
    </xdr:from>
    <xdr:to>
      <xdr:col>10</xdr:col>
      <xdr:colOff>568656</xdr:colOff>
      <xdr:row>32</xdr:row>
      <xdr:rowOff>47387</xdr:rowOff>
    </xdr:to>
    <xdr:sp macro="" textlink="">
      <xdr:nvSpPr>
        <xdr:cNvPr id="39" name="Rectangle: Rounded Corners 38">
          <a:extLst>
            <a:ext uri="{FF2B5EF4-FFF2-40B4-BE49-F238E27FC236}">
              <a16:creationId xmlns:a16="http://schemas.microsoft.com/office/drawing/2014/main" id="{EE784C01-5405-4EE8-8A40-EA56C61E58B6}"/>
            </a:ext>
          </a:extLst>
        </xdr:cNvPr>
        <xdr:cNvSpPr/>
      </xdr:nvSpPr>
      <xdr:spPr>
        <a:xfrm>
          <a:off x="5354849" y="3402462"/>
          <a:ext cx="1848135" cy="2407313"/>
        </a:xfrm>
        <a:prstGeom prst="roundRect">
          <a:avLst>
            <a:gd name="adj" fmla="val 22308"/>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8</xdr:col>
      <xdr:colOff>132686</xdr:colOff>
      <xdr:row>19</xdr:row>
      <xdr:rowOff>75821</xdr:rowOff>
    </xdr:from>
    <xdr:to>
      <xdr:col>10</xdr:col>
      <xdr:colOff>457755</xdr:colOff>
      <xdr:row>27</xdr:row>
      <xdr:rowOff>113487</xdr:rowOff>
    </xdr:to>
    <xdr:graphicFrame macro="">
      <xdr:nvGraphicFramePr>
        <xdr:cNvPr id="40" name="Chart 39">
          <a:extLst>
            <a:ext uri="{FF2B5EF4-FFF2-40B4-BE49-F238E27FC236}">
              <a16:creationId xmlns:a16="http://schemas.microsoft.com/office/drawing/2014/main" id="{197EFEA8-12F7-4AB3-A150-5CDAF6B97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398060</xdr:colOff>
      <xdr:row>26</xdr:row>
      <xdr:rowOff>132687</xdr:rowOff>
    </xdr:from>
    <xdr:ext cx="1394426" cy="342786"/>
    <xdr:sp macro="" textlink="#REF!">
      <xdr:nvSpPr>
        <xdr:cNvPr id="41" name="TextBox 40">
          <a:extLst>
            <a:ext uri="{FF2B5EF4-FFF2-40B4-BE49-F238E27FC236}">
              <a16:creationId xmlns:a16="http://schemas.microsoft.com/office/drawing/2014/main" id="{083609C6-8DB6-4A41-A6C8-470CBAE3573A}"/>
            </a:ext>
          </a:extLst>
        </xdr:cNvPr>
        <xdr:cNvSpPr txBox="1"/>
      </xdr:nvSpPr>
      <xdr:spPr>
        <a:xfrm>
          <a:off x="5042090" y="4814627"/>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67EBD846-E45B-4033-87AC-7D68096C9F23}" type="TxLink">
            <a:rPr lang="ar-EG" sz="1600" b="1" i="1" u="none" strike="noStrike">
              <a:solidFill>
                <a:sysClr val="windowText" lastClr="000000"/>
              </a:solidFill>
              <a:latin typeface="Footlight MT Light" panose="0204060206030A020304" pitchFamily="18" charset="0"/>
              <a:ea typeface="+mn-ea"/>
              <a:cs typeface="Arial"/>
            </a:rPr>
            <a:pPr marL="0" indent="0" algn="ctr"/>
            <a:t>القاهرة</a:t>
          </a:fld>
          <a:endParaRPr lang="en-US" sz="1600" b="1" i="1" u="none" strike="noStrike">
            <a:solidFill>
              <a:sysClr val="windowText" lastClr="000000"/>
            </a:solidFill>
            <a:latin typeface="Footlight MT Light" panose="0204060206030A020304" pitchFamily="18" charset="0"/>
            <a:ea typeface="+mn-ea"/>
            <a:cs typeface="Arial"/>
          </a:endParaRPr>
        </a:p>
      </xdr:txBody>
    </xdr:sp>
    <xdr:clientData/>
  </xdr:oneCellAnchor>
  <xdr:oneCellAnchor>
    <xdr:from>
      <xdr:col>7</xdr:col>
      <xdr:colOff>414448</xdr:colOff>
      <xdr:row>28</xdr:row>
      <xdr:rowOff>26252</xdr:rowOff>
    </xdr:from>
    <xdr:ext cx="1394426" cy="342786"/>
    <xdr:sp macro="" textlink="#REF!">
      <xdr:nvSpPr>
        <xdr:cNvPr id="42" name="TextBox 41">
          <a:extLst>
            <a:ext uri="{FF2B5EF4-FFF2-40B4-BE49-F238E27FC236}">
              <a16:creationId xmlns:a16="http://schemas.microsoft.com/office/drawing/2014/main" id="{C1F08C5D-E608-4E10-BD9C-D6B93382E45D}"/>
            </a:ext>
          </a:extLst>
        </xdr:cNvPr>
        <xdr:cNvSpPr txBox="1"/>
      </xdr:nvSpPr>
      <xdr:spPr>
        <a:xfrm>
          <a:off x="5058478" y="5068342"/>
          <a:ext cx="13944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2EC1B602-B400-4271-9116-357FC35C3910}" type="TxLink">
            <a:rPr lang="ar-EG" sz="1600" b="1" i="1" u="none" strike="noStrike">
              <a:solidFill>
                <a:sysClr val="windowText" lastClr="000000"/>
              </a:solidFill>
              <a:latin typeface="Footlight MT Light" panose="0204060206030A020304" pitchFamily="18" charset="0"/>
              <a:ea typeface="+mn-ea"/>
              <a:cs typeface="Arial"/>
            </a:rPr>
            <a:pPr marL="0" indent="0" algn="ctr"/>
            <a:t>الجيزة</a:t>
          </a:fld>
          <a:endParaRPr lang="en-US" sz="1600" b="1" i="1" u="none" strike="noStrike">
            <a:solidFill>
              <a:sysClr val="windowText" lastClr="000000"/>
            </a:solidFill>
            <a:latin typeface="Footlight MT Light" panose="0204060206030A020304" pitchFamily="18" charset="0"/>
            <a:ea typeface="+mn-ea"/>
            <a:cs typeface="Arial"/>
          </a:endParaRPr>
        </a:p>
      </xdr:txBody>
    </xdr:sp>
    <xdr:clientData/>
  </xdr:oneCellAnchor>
  <xdr:oneCellAnchor>
    <xdr:from>
      <xdr:col>7</xdr:col>
      <xdr:colOff>578319</xdr:colOff>
      <xdr:row>29</xdr:row>
      <xdr:rowOff>102945</xdr:rowOff>
    </xdr:from>
    <xdr:ext cx="1226458" cy="342786"/>
    <xdr:sp macro="" textlink="#REF!">
      <xdr:nvSpPr>
        <xdr:cNvPr id="43" name="TextBox 42">
          <a:extLst>
            <a:ext uri="{FF2B5EF4-FFF2-40B4-BE49-F238E27FC236}">
              <a16:creationId xmlns:a16="http://schemas.microsoft.com/office/drawing/2014/main" id="{BCE64AC8-9FB7-4B0B-89E4-53D008987552}"/>
            </a:ext>
          </a:extLst>
        </xdr:cNvPr>
        <xdr:cNvSpPr txBox="1"/>
      </xdr:nvSpPr>
      <xdr:spPr>
        <a:xfrm>
          <a:off x="5222349" y="5325109"/>
          <a:ext cx="122645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9C7D426B-EF68-4EB7-9609-595B7A18A4E5}" type="TxLink">
            <a:rPr lang="ar-EG" sz="1600" b="1" i="1" u="none" strike="noStrike">
              <a:solidFill>
                <a:sysClr val="windowText" lastClr="000000"/>
              </a:solidFill>
              <a:latin typeface="Footlight MT Light" panose="0204060206030A020304" pitchFamily="18" charset="0"/>
              <a:ea typeface="+mn-ea"/>
              <a:cs typeface="Arial"/>
            </a:rPr>
            <a:pPr marL="0" indent="0" algn="ctr"/>
            <a:t>البحر الأحمر</a:t>
          </a:fld>
          <a:endParaRPr lang="en-US" sz="1600" b="1" i="1" u="none" strike="noStrike">
            <a:solidFill>
              <a:sysClr val="windowText" lastClr="000000"/>
            </a:solidFill>
            <a:latin typeface="Footlight MT Light" panose="0204060206030A020304" pitchFamily="18" charset="0"/>
            <a:ea typeface="+mn-ea"/>
            <a:cs typeface="Arial"/>
          </a:endParaRPr>
        </a:p>
      </xdr:txBody>
    </xdr:sp>
    <xdr:clientData/>
  </xdr:oneCellAnchor>
  <xdr:oneCellAnchor>
    <xdr:from>
      <xdr:col>9</xdr:col>
      <xdr:colOff>234999</xdr:colOff>
      <xdr:row>29</xdr:row>
      <xdr:rowOff>125001</xdr:rowOff>
    </xdr:from>
    <xdr:ext cx="1394426" cy="308931"/>
    <xdr:sp macro="" textlink="#REF!">
      <xdr:nvSpPr>
        <xdr:cNvPr id="44" name="TextBox 43">
          <a:extLst>
            <a:ext uri="{FF2B5EF4-FFF2-40B4-BE49-F238E27FC236}">
              <a16:creationId xmlns:a16="http://schemas.microsoft.com/office/drawing/2014/main" id="{7E11CD1F-0624-491A-BD43-36918D869864}"/>
            </a:ext>
          </a:extLst>
        </xdr:cNvPr>
        <xdr:cNvSpPr txBox="1"/>
      </xdr:nvSpPr>
      <xdr:spPr>
        <a:xfrm>
          <a:off x="6205895" y="5347165"/>
          <a:ext cx="1394426" cy="308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E6CDA982-A288-453C-BCFC-856D569C84D4}" type="TxLink">
            <a:rPr lang="en-US" sz="1600" b="1" i="1" u="none" strike="noStrike">
              <a:solidFill>
                <a:schemeClr val="accent2">
                  <a:lumMod val="40000"/>
                  <a:lumOff val="60000"/>
                </a:schemeClr>
              </a:solidFill>
              <a:latin typeface="Footlight MT Light" panose="0204060206030A020304" pitchFamily="18" charset="0"/>
              <a:ea typeface="+mn-ea"/>
              <a:cs typeface="Arial"/>
            </a:rPr>
            <a:pPr marL="0" indent="0" algn="ctr"/>
            <a:t>6%</a:t>
          </a:fld>
          <a:endParaRPr lang="en-US" sz="1600" b="1" i="1" u="none" strike="noStrike">
            <a:solidFill>
              <a:schemeClr val="accent2">
                <a:lumMod val="40000"/>
                <a:lumOff val="60000"/>
              </a:schemeClr>
            </a:solidFill>
            <a:latin typeface="Footlight MT Light" panose="0204060206030A020304" pitchFamily="18" charset="0"/>
            <a:ea typeface="+mn-ea"/>
            <a:cs typeface="Arial"/>
          </a:endParaRPr>
        </a:p>
      </xdr:txBody>
    </xdr:sp>
    <xdr:clientData/>
  </xdr:oneCellAnchor>
  <xdr:oneCellAnchor>
    <xdr:from>
      <xdr:col>9</xdr:col>
      <xdr:colOff>194031</xdr:colOff>
      <xdr:row>26</xdr:row>
      <xdr:rowOff>146110</xdr:rowOff>
    </xdr:from>
    <xdr:ext cx="1394426" cy="308931"/>
    <xdr:sp macro="" textlink="#REF!">
      <xdr:nvSpPr>
        <xdr:cNvPr id="45" name="TextBox 44">
          <a:extLst>
            <a:ext uri="{FF2B5EF4-FFF2-40B4-BE49-F238E27FC236}">
              <a16:creationId xmlns:a16="http://schemas.microsoft.com/office/drawing/2014/main" id="{4BC2E43F-3C5F-44A3-8A7F-7F8059A8B1B8}"/>
            </a:ext>
          </a:extLst>
        </xdr:cNvPr>
        <xdr:cNvSpPr txBox="1"/>
      </xdr:nvSpPr>
      <xdr:spPr>
        <a:xfrm>
          <a:off x="6164927" y="4828050"/>
          <a:ext cx="1394426" cy="308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5EF44B3B-B772-434B-A2C7-90B01050C486}" type="TxLink">
            <a:rPr lang="en-US" sz="1600" b="1" i="1" u="none" strike="noStrike">
              <a:solidFill>
                <a:schemeClr val="accent2">
                  <a:lumMod val="75000"/>
                </a:schemeClr>
              </a:solidFill>
              <a:latin typeface="Footlight MT Light" panose="0204060206030A020304" pitchFamily="18" charset="0"/>
              <a:ea typeface="+mn-ea"/>
              <a:cs typeface="Arial"/>
            </a:rPr>
            <a:pPr marL="0" indent="0" algn="ctr"/>
            <a:t>73%</a:t>
          </a:fld>
          <a:endParaRPr lang="en-US" sz="1600" b="1" i="1" u="none" strike="noStrike">
            <a:solidFill>
              <a:schemeClr val="accent2">
                <a:lumMod val="75000"/>
              </a:schemeClr>
            </a:solidFill>
            <a:latin typeface="Footlight MT Light" panose="0204060206030A020304" pitchFamily="18" charset="0"/>
            <a:ea typeface="+mn-ea"/>
            <a:cs typeface="Arial"/>
          </a:endParaRPr>
        </a:p>
      </xdr:txBody>
    </xdr:sp>
    <xdr:clientData/>
  </xdr:oneCellAnchor>
  <xdr:oneCellAnchor>
    <xdr:from>
      <xdr:col>9</xdr:col>
      <xdr:colOff>251385</xdr:colOff>
      <xdr:row>28</xdr:row>
      <xdr:rowOff>43181</xdr:rowOff>
    </xdr:from>
    <xdr:ext cx="1394426" cy="308931"/>
    <xdr:sp macro="" textlink="#REF!">
      <xdr:nvSpPr>
        <xdr:cNvPr id="46" name="TextBox 45">
          <a:extLst>
            <a:ext uri="{FF2B5EF4-FFF2-40B4-BE49-F238E27FC236}">
              <a16:creationId xmlns:a16="http://schemas.microsoft.com/office/drawing/2014/main" id="{4A8DA790-1A11-4964-B216-F46C1F58EDE8}"/>
            </a:ext>
          </a:extLst>
        </xdr:cNvPr>
        <xdr:cNvSpPr txBox="1"/>
      </xdr:nvSpPr>
      <xdr:spPr>
        <a:xfrm>
          <a:off x="6222281" y="5085271"/>
          <a:ext cx="1394426" cy="3089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spAutoFit/>
        </a:bodyPr>
        <a:lstStyle/>
        <a:p>
          <a:pPr marL="0" indent="0" algn="ctr"/>
          <a:fld id="{03BC68F1-316C-4695-A01E-8B3EC939670B}" type="TxLink">
            <a:rPr lang="en-US" sz="1600" b="1" i="1" u="none" strike="noStrike">
              <a:solidFill>
                <a:schemeClr val="accent2">
                  <a:lumMod val="60000"/>
                  <a:lumOff val="40000"/>
                </a:schemeClr>
              </a:solidFill>
              <a:latin typeface="Footlight MT Light" panose="0204060206030A020304" pitchFamily="18" charset="0"/>
              <a:ea typeface="+mn-ea"/>
              <a:cs typeface="Arial"/>
            </a:rPr>
            <a:pPr marL="0" indent="0" algn="ctr"/>
            <a:t>20%</a:t>
          </a:fld>
          <a:endParaRPr lang="en-US" sz="1600" b="1" i="1" u="none" strike="noStrike">
            <a:solidFill>
              <a:schemeClr val="accent2">
                <a:lumMod val="60000"/>
                <a:lumOff val="40000"/>
              </a:schemeClr>
            </a:solidFill>
            <a:latin typeface="Footlight MT Light" panose="0204060206030A020304" pitchFamily="18" charset="0"/>
            <a:ea typeface="+mn-ea"/>
            <a:cs typeface="Arial"/>
          </a:endParaRPr>
        </a:p>
      </xdr:txBody>
    </xdr:sp>
    <xdr:clientData/>
  </xdr:oneCellAnchor>
  <xdr:twoCellAnchor>
    <xdr:from>
      <xdr:col>11</xdr:col>
      <xdr:colOff>9477</xdr:colOff>
      <xdr:row>19</xdr:row>
      <xdr:rowOff>75821</xdr:rowOff>
    </xdr:from>
    <xdr:to>
      <xdr:col>11</xdr:col>
      <xdr:colOff>18431</xdr:colOff>
      <xdr:row>31</xdr:row>
      <xdr:rowOff>135352</xdr:rowOff>
    </xdr:to>
    <xdr:cxnSp macro="">
      <xdr:nvCxnSpPr>
        <xdr:cNvPr id="47" name="Straight Connector 46">
          <a:extLst>
            <a:ext uri="{FF2B5EF4-FFF2-40B4-BE49-F238E27FC236}">
              <a16:creationId xmlns:a16="http://schemas.microsoft.com/office/drawing/2014/main" id="{FBA1FD71-B37E-4A08-9E2A-2E2D0BA36DA4}"/>
            </a:ext>
          </a:extLst>
        </xdr:cNvPr>
        <xdr:cNvCxnSpPr/>
      </xdr:nvCxnSpPr>
      <xdr:spPr>
        <a:xfrm>
          <a:off x="7307238" y="3497239"/>
          <a:ext cx="8954" cy="2220426"/>
        </a:xfrm>
        <a:prstGeom prst="line">
          <a:avLst/>
        </a:prstGeom>
        <a:ln w="12700">
          <a:solidFill>
            <a:sysClr val="windowText" lastClr="000000"/>
          </a:solidFill>
        </a:ln>
        <a:effectLst>
          <a:outerShdw blurRad="50800" dist="38100" dir="13500000" algn="br"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435972</xdr:colOff>
      <xdr:row>19</xdr:row>
      <xdr:rowOff>94775</xdr:rowOff>
    </xdr:from>
    <xdr:to>
      <xdr:col>21</xdr:col>
      <xdr:colOff>525270</xdr:colOff>
      <xdr:row>31</xdr:row>
      <xdr:rowOff>151641</xdr:rowOff>
    </xdr:to>
    <xdr:sp macro="" textlink="">
      <xdr:nvSpPr>
        <xdr:cNvPr id="48" name="Rectangle: Rounded Corners 47">
          <a:extLst>
            <a:ext uri="{FF2B5EF4-FFF2-40B4-BE49-F238E27FC236}">
              <a16:creationId xmlns:a16="http://schemas.microsoft.com/office/drawing/2014/main" id="{E96F9B39-6264-42CD-B3BF-97092437FD3B}"/>
            </a:ext>
          </a:extLst>
        </xdr:cNvPr>
        <xdr:cNvSpPr/>
      </xdr:nvSpPr>
      <xdr:spPr>
        <a:xfrm>
          <a:off x="11050897" y="3516193"/>
          <a:ext cx="3406463" cy="2217761"/>
        </a:xfrm>
        <a:prstGeom prst="roundRect">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11</xdr:col>
      <xdr:colOff>170598</xdr:colOff>
      <xdr:row>19</xdr:row>
      <xdr:rowOff>85299</xdr:rowOff>
    </xdr:from>
    <xdr:to>
      <xdr:col>16</xdr:col>
      <xdr:colOff>201084</xdr:colOff>
      <xdr:row>31</xdr:row>
      <xdr:rowOff>113732</xdr:rowOff>
    </xdr:to>
    <xdr:sp macro="" textlink="">
      <xdr:nvSpPr>
        <xdr:cNvPr id="50" name="Rectangle: Rounded Corners 49">
          <a:extLst>
            <a:ext uri="{FF2B5EF4-FFF2-40B4-BE49-F238E27FC236}">
              <a16:creationId xmlns:a16="http://schemas.microsoft.com/office/drawing/2014/main" id="{0B9B0031-EA1B-4787-B767-82DE6CA36242}"/>
            </a:ext>
          </a:extLst>
        </xdr:cNvPr>
        <xdr:cNvSpPr/>
      </xdr:nvSpPr>
      <xdr:spPr>
        <a:xfrm>
          <a:off x="7388431" y="3503716"/>
          <a:ext cx="3311320" cy="2187433"/>
        </a:xfrm>
        <a:prstGeom prst="roundRect">
          <a:avLst>
            <a:gd name="adj" fmla="val 10861"/>
          </a:avLst>
        </a:prstGeom>
        <a:solidFill>
          <a:schemeClr val="bg1"/>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xdr:from>
      <xdr:col>5</xdr:col>
      <xdr:colOff>199029</xdr:colOff>
      <xdr:row>0</xdr:row>
      <xdr:rowOff>161121</xdr:rowOff>
    </xdr:from>
    <xdr:to>
      <xdr:col>7</xdr:col>
      <xdr:colOff>508480</xdr:colOff>
      <xdr:row>9</xdr:row>
      <xdr:rowOff>151641</xdr:rowOff>
    </xdr:to>
    <xdr:sp macro="" textlink="">
      <xdr:nvSpPr>
        <xdr:cNvPr id="57" name="Rectangle: Rounded Corners 56">
          <a:extLst>
            <a:ext uri="{FF2B5EF4-FFF2-40B4-BE49-F238E27FC236}">
              <a16:creationId xmlns:a16="http://schemas.microsoft.com/office/drawing/2014/main" id="{706F9019-45D1-4CA9-8918-BA5603635798}"/>
            </a:ext>
          </a:extLst>
        </xdr:cNvPr>
        <xdr:cNvSpPr/>
      </xdr:nvSpPr>
      <xdr:spPr>
        <a:xfrm>
          <a:off x="3516193" y="161121"/>
          <a:ext cx="1636317" cy="1611192"/>
        </a:xfrm>
        <a:prstGeom prst="roundRect">
          <a:avLst>
            <a:gd name="adj" fmla="val 50000"/>
          </a:avLst>
        </a:prstGeom>
        <a:solidFill>
          <a:schemeClr val="accent2">
            <a:lumMod val="75000"/>
          </a:schemeClr>
        </a:solidFill>
        <a:ln>
          <a:noFill/>
        </a:ln>
        <a:effectLst>
          <a:innerShdw blurRad="63500" dist="50800" dir="27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indent="0" algn="l"/>
          <a:endParaRPr lang="ar-EG" sz="1100">
            <a:solidFill>
              <a:schemeClr val="lt1"/>
            </a:solidFill>
            <a:latin typeface="+mn-lt"/>
            <a:ea typeface="+mn-ea"/>
            <a:cs typeface="+mn-cs"/>
          </a:endParaRPr>
        </a:p>
      </xdr:txBody>
    </xdr:sp>
    <xdr:clientData/>
  </xdr:twoCellAnchor>
  <xdr:twoCellAnchor editAs="oneCell">
    <xdr:from>
      <xdr:col>5</xdr:col>
      <xdr:colOff>379104</xdr:colOff>
      <xdr:row>1</xdr:row>
      <xdr:rowOff>94775</xdr:rowOff>
    </xdr:from>
    <xdr:to>
      <xdr:col>7</xdr:col>
      <xdr:colOff>336116</xdr:colOff>
      <xdr:row>8</xdr:row>
      <xdr:rowOff>176802</xdr:rowOff>
    </xdr:to>
    <xdr:pic>
      <xdr:nvPicPr>
        <xdr:cNvPr id="58" name="Picture 57">
          <a:extLst>
            <a:ext uri="{FF2B5EF4-FFF2-40B4-BE49-F238E27FC236}">
              <a16:creationId xmlns:a16="http://schemas.microsoft.com/office/drawing/2014/main" id="{845E1200-A968-411E-AE00-3BAFA1C07B8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96268" y="274850"/>
          <a:ext cx="1283878" cy="134254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11</xdr:col>
      <xdr:colOff>254002</xdr:colOff>
      <xdr:row>19</xdr:row>
      <xdr:rowOff>126997</xdr:rowOff>
    </xdr:from>
    <xdr:to>
      <xdr:col>16</xdr:col>
      <xdr:colOff>137583</xdr:colOff>
      <xdr:row>31</xdr:row>
      <xdr:rowOff>0</xdr:rowOff>
    </xdr:to>
    <xdr:graphicFrame macro="">
      <xdr:nvGraphicFramePr>
        <xdr:cNvPr id="59" name="Chart 58">
          <a:extLst>
            <a:ext uri="{FF2B5EF4-FFF2-40B4-BE49-F238E27FC236}">
              <a16:creationId xmlns:a16="http://schemas.microsoft.com/office/drawing/2014/main" id="{7D55D2B4-ABE4-4C09-83D9-5614915B9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508001</xdr:colOff>
      <xdr:row>20</xdr:row>
      <xdr:rowOff>19539</xdr:rowOff>
    </xdr:from>
    <xdr:to>
      <xdr:col>21</xdr:col>
      <xdr:colOff>332153</xdr:colOff>
      <xdr:row>30</xdr:row>
      <xdr:rowOff>117230</xdr:rowOff>
    </xdr:to>
    <xdr:graphicFrame macro="">
      <xdr:nvGraphicFramePr>
        <xdr:cNvPr id="49" name="Chart 48">
          <a:extLst>
            <a:ext uri="{FF2B5EF4-FFF2-40B4-BE49-F238E27FC236}">
              <a16:creationId xmlns:a16="http://schemas.microsoft.com/office/drawing/2014/main" id="{EFF51385-4952-4142-8C8D-34F45A59F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234462</xdr:colOff>
      <xdr:row>10</xdr:row>
      <xdr:rowOff>97690</xdr:rowOff>
    </xdr:from>
    <xdr:to>
      <xdr:col>7</xdr:col>
      <xdr:colOff>345846</xdr:colOff>
      <xdr:row>20</xdr:row>
      <xdr:rowOff>152042</xdr:rowOff>
    </xdr:to>
    <mc:AlternateContent xmlns:mc="http://schemas.openxmlformats.org/markup-compatibility/2006" xmlns:a14="http://schemas.microsoft.com/office/drawing/2010/main">
      <mc:Choice Requires="a14">
        <xdr:graphicFrame macro="">
          <xdr:nvGraphicFramePr>
            <xdr:cNvPr id="52" name="طريقة الدفع  1">
              <a:extLst>
                <a:ext uri="{FF2B5EF4-FFF2-40B4-BE49-F238E27FC236}">
                  <a16:creationId xmlns:a16="http://schemas.microsoft.com/office/drawing/2014/main" id="{7A25DA0C-023A-42B0-A271-56A10B4A3216}"/>
                </a:ext>
              </a:extLst>
            </xdr:cNvPr>
            <xdr:cNvGraphicFramePr/>
          </xdr:nvGraphicFramePr>
          <xdr:xfrm>
            <a:off x="0" y="0"/>
            <a:ext cx="0" cy="0"/>
          </xdr:xfrm>
          <a:graphic>
            <a:graphicData uri="http://schemas.microsoft.com/office/drawing/2010/slicer">
              <sle:slicer xmlns:sle="http://schemas.microsoft.com/office/drawing/2010/slicer" name="طريقة الدفع  1"/>
            </a:graphicData>
          </a:graphic>
        </xdr:graphicFrame>
      </mc:Choice>
      <mc:Fallback xmlns="">
        <xdr:sp macro="" textlink="">
          <xdr:nvSpPr>
            <xdr:cNvPr id="0" name=""/>
            <xdr:cNvSpPr>
              <a:spLocks noTextEdit="1"/>
            </xdr:cNvSpPr>
          </xdr:nvSpPr>
          <xdr:spPr>
            <a:xfrm>
              <a:off x="3543617" y="1886422"/>
              <a:ext cx="1435046" cy="184308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205704</xdr:colOff>
      <xdr:row>19</xdr:row>
      <xdr:rowOff>169929</xdr:rowOff>
    </xdr:from>
    <xdr:to>
      <xdr:col>7</xdr:col>
      <xdr:colOff>474014</xdr:colOff>
      <xdr:row>19</xdr:row>
      <xdr:rowOff>169929</xdr:rowOff>
    </xdr:to>
    <xdr:cxnSp macro="">
      <xdr:nvCxnSpPr>
        <xdr:cNvPr id="11" name="Straight Connector 10">
          <a:extLst>
            <a:ext uri="{FF2B5EF4-FFF2-40B4-BE49-F238E27FC236}">
              <a16:creationId xmlns:a16="http://schemas.microsoft.com/office/drawing/2014/main" id="{82859DFD-AF68-4242-87AF-C9B7AAE4A243}"/>
            </a:ext>
          </a:extLst>
        </xdr:cNvPr>
        <xdr:cNvCxnSpPr/>
      </xdr:nvCxnSpPr>
      <xdr:spPr>
        <a:xfrm>
          <a:off x="3514859" y="3568521"/>
          <a:ext cx="1591972" cy="0"/>
        </a:xfrm>
        <a:prstGeom prst="lin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277252</xdr:colOff>
      <xdr:row>20</xdr:row>
      <xdr:rowOff>116266</xdr:rowOff>
    </xdr:from>
    <xdr:to>
      <xdr:col>7</xdr:col>
      <xdr:colOff>384577</xdr:colOff>
      <xdr:row>34</xdr:row>
      <xdr:rowOff>96041</xdr:rowOff>
    </xdr:to>
    <mc:AlternateContent xmlns:mc="http://schemas.openxmlformats.org/markup-compatibility/2006" xmlns:a14="http://schemas.microsoft.com/office/drawing/2010/main">
      <mc:Choice Requires="a14">
        <xdr:graphicFrame macro="">
          <xdr:nvGraphicFramePr>
            <xdr:cNvPr id="56" name="الحاله 2">
              <a:extLst>
                <a:ext uri="{FF2B5EF4-FFF2-40B4-BE49-F238E27FC236}">
                  <a16:creationId xmlns:a16="http://schemas.microsoft.com/office/drawing/2014/main" id="{C5194FFE-7D61-46C5-ADCD-9BDE236FEC10}"/>
                </a:ext>
              </a:extLst>
            </xdr:cNvPr>
            <xdr:cNvGraphicFramePr/>
          </xdr:nvGraphicFramePr>
          <xdr:xfrm>
            <a:off x="0" y="0"/>
            <a:ext cx="0" cy="0"/>
          </xdr:xfrm>
          <a:graphic>
            <a:graphicData uri="http://schemas.microsoft.com/office/drawing/2010/slicer">
              <sle:slicer xmlns:sle="http://schemas.microsoft.com/office/drawing/2010/slicer" name="الحاله 2"/>
            </a:graphicData>
          </a:graphic>
        </xdr:graphicFrame>
      </mc:Choice>
      <mc:Fallback xmlns="">
        <xdr:sp macro="" textlink="">
          <xdr:nvSpPr>
            <xdr:cNvPr id="0" name=""/>
            <xdr:cNvSpPr>
              <a:spLocks noTextEdit="1"/>
            </xdr:cNvSpPr>
          </xdr:nvSpPr>
          <xdr:spPr>
            <a:xfrm>
              <a:off x="3586407" y="3693731"/>
              <a:ext cx="1430987" cy="2484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180339</xdr:colOff>
      <xdr:row>0</xdr:row>
      <xdr:rowOff>0</xdr:rowOff>
    </xdr:from>
    <xdr:to>
      <xdr:col>4</xdr:col>
      <xdr:colOff>126999</xdr:colOff>
      <xdr:row>72</xdr:row>
      <xdr:rowOff>23707</xdr:rowOff>
    </xdr:to>
    <xdr:sp macro="" textlink="">
      <xdr:nvSpPr>
        <xdr:cNvPr id="2" name="Rectangle: Rounded Corners 1">
          <a:extLst>
            <a:ext uri="{FF2B5EF4-FFF2-40B4-BE49-F238E27FC236}">
              <a16:creationId xmlns:a16="http://schemas.microsoft.com/office/drawing/2014/main" id="{6DB3CA2C-8379-A9A1-CCC9-EB7350207BED}"/>
            </a:ext>
          </a:extLst>
        </xdr:cNvPr>
        <xdr:cNvSpPr/>
      </xdr:nvSpPr>
      <xdr:spPr>
        <a:xfrm>
          <a:off x="180339" y="0"/>
          <a:ext cx="2631803" cy="13086564"/>
        </a:xfrm>
        <a:prstGeom prst="round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5</xdr:col>
      <xdr:colOff>293572</xdr:colOff>
      <xdr:row>0</xdr:row>
      <xdr:rowOff>91039</xdr:rowOff>
    </xdr:from>
    <xdr:to>
      <xdr:col>23</xdr:col>
      <xdr:colOff>552651</xdr:colOff>
      <xdr:row>3</xdr:row>
      <xdr:rowOff>136759</xdr:rowOff>
    </xdr:to>
    <xdr:sp macro="" textlink="">
      <xdr:nvSpPr>
        <xdr:cNvPr id="3" name="Rectangle: Rounded Corners 2">
          <a:extLst>
            <a:ext uri="{FF2B5EF4-FFF2-40B4-BE49-F238E27FC236}">
              <a16:creationId xmlns:a16="http://schemas.microsoft.com/office/drawing/2014/main" id="{74E72756-A81F-43DC-8952-0C33A894D84C}"/>
            </a:ext>
          </a:extLst>
        </xdr:cNvPr>
        <xdr:cNvSpPr/>
      </xdr:nvSpPr>
      <xdr:spPr>
        <a:xfrm>
          <a:off x="3650001" y="91039"/>
          <a:ext cx="12342221" cy="590006"/>
        </a:xfrm>
        <a:prstGeom prst="roundRect">
          <a:avLst/>
        </a:prstGeom>
        <a:solidFill>
          <a:srgbClr val="182B49"/>
        </a:solidFill>
        <a:ln>
          <a:solidFill>
            <a:schemeClr val="accent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6</xdr:col>
      <xdr:colOff>22859</xdr:colOff>
      <xdr:row>0</xdr:row>
      <xdr:rowOff>121920</xdr:rowOff>
    </xdr:from>
    <xdr:to>
      <xdr:col>22</xdr:col>
      <xdr:colOff>110288</xdr:colOff>
      <xdr:row>3</xdr:row>
      <xdr:rowOff>45720</xdr:rowOff>
    </xdr:to>
    <xdr:sp macro="" textlink="">
      <xdr:nvSpPr>
        <xdr:cNvPr id="4" name="TextBox 3">
          <a:extLst>
            <a:ext uri="{FF2B5EF4-FFF2-40B4-BE49-F238E27FC236}">
              <a16:creationId xmlns:a16="http://schemas.microsoft.com/office/drawing/2014/main" id="{57F01D86-1D22-D7CA-3B02-2EC0EAAD199D}"/>
            </a:ext>
          </a:extLst>
        </xdr:cNvPr>
        <xdr:cNvSpPr txBox="1"/>
      </xdr:nvSpPr>
      <xdr:spPr>
        <a:xfrm>
          <a:off x="4050573" y="121920"/>
          <a:ext cx="10828001" cy="468086"/>
        </a:xfrm>
        <a:prstGeom prst="rect">
          <a:avLst/>
        </a:prstGeom>
        <a:solidFill>
          <a:srgbClr val="182B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2400">
              <a:solidFill>
                <a:schemeClr val="bg1"/>
              </a:solidFill>
              <a:latin typeface="Arial Black" panose="020B0A04020102020204" pitchFamily="34" charset="0"/>
            </a:rPr>
            <a:t>Sales Dashbord</a:t>
          </a:r>
        </a:p>
      </xdr:txBody>
    </xdr:sp>
    <xdr:clientData/>
  </xdr:twoCellAnchor>
  <xdr:twoCellAnchor>
    <xdr:from>
      <xdr:col>5</xdr:col>
      <xdr:colOff>593558</xdr:colOff>
      <xdr:row>4</xdr:row>
      <xdr:rowOff>25266</xdr:rowOff>
    </xdr:from>
    <xdr:to>
      <xdr:col>10</xdr:col>
      <xdr:colOff>425917</xdr:colOff>
      <xdr:row>11</xdr:row>
      <xdr:rowOff>93846</xdr:rowOff>
    </xdr:to>
    <xdr:sp macro="" textlink="">
      <xdr:nvSpPr>
        <xdr:cNvPr id="5" name="Rectangle: Top Corners Rounded 4">
          <a:extLst>
            <a:ext uri="{FF2B5EF4-FFF2-40B4-BE49-F238E27FC236}">
              <a16:creationId xmlns:a16="http://schemas.microsoft.com/office/drawing/2014/main" id="{F171DB74-E8AD-8350-8872-23CC0AC46270}"/>
            </a:ext>
          </a:extLst>
        </xdr:cNvPr>
        <xdr:cNvSpPr/>
      </xdr:nvSpPr>
      <xdr:spPr>
        <a:xfrm>
          <a:off x="3949987" y="750980"/>
          <a:ext cx="3188787" cy="1338580"/>
        </a:xfrm>
        <a:prstGeom prst="round2Same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13</xdr:col>
      <xdr:colOff>423712</xdr:colOff>
      <xdr:row>4</xdr:row>
      <xdr:rowOff>25266</xdr:rowOff>
    </xdr:from>
    <xdr:to>
      <xdr:col>18</xdr:col>
      <xdr:colOff>256072</xdr:colOff>
      <xdr:row>11</xdr:row>
      <xdr:rowOff>93846</xdr:rowOff>
    </xdr:to>
    <xdr:sp macro="" textlink="">
      <xdr:nvSpPr>
        <xdr:cNvPr id="6" name="Rectangle: Top Corners Rounded 5">
          <a:extLst>
            <a:ext uri="{FF2B5EF4-FFF2-40B4-BE49-F238E27FC236}">
              <a16:creationId xmlns:a16="http://schemas.microsoft.com/office/drawing/2014/main" id="{F6B3F7C4-4C15-435C-A51D-65B377EAE008}"/>
            </a:ext>
          </a:extLst>
        </xdr:cNvPr>
        <xdr:cNvSpPr/>
      </xdr:nvSpPr>
      <xdr:spPr>
        <a:xfrm>
          <a:off x="9150426" y="750980"/>
          <a:ext cx="3188789" cy="1338580"/>
        </a:xfrm>
        <a:prstGeom prst="round2Same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21</xdr:col>
      <xdr:colOff>253866</xdr:colOff>
      <xdr:row>4</xdr:row>
      <xdr:rowOff>25266</xdr:rowOff>
    </xdr:from>
    <xdr:to>
      <xdr:col>26</xdr:col>
      <xdr:colOff>84222</xdr:colOff>
      <xdr:row>11</xdr:row>
      <xdr:rowOff>147186</xdr:rowOff>
    </xdr:to>
    <xdr:sp macro="" textlink="">
      <xdr:nvSpPr>
        <xdr:cNvPr id="7" name="Rectangle: Top Corners Rounded 6">
          <a:extLst>
            <a:ext uri="{FF2B5EF4-FFF2-40B4-BE49-F238E27FC236}">
              <a16:creationId xmlns:a16="http://schemas.microsoft.com/office/drawing/2014/main" id="{B8053D31-5C2E-444E-8DF0-F035F3607679}"/>
            </a:ext>
          </a:extLst>
        </xdr:cNvPr>
        <xdr:cNvSpPr/>
      </xdr:nvSpPr>
      <xdr:spPr>
        <a:xfrm>
          <a:off x="14350866" y="750980"/>
          <a:ext cx="3186785" cy="1391920"/>
        </a:xfrm>
        <a:prstGeom prst="round2Same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6</xdr:col>
      <xdr:colOff>40105</xdr:colOff>
      <xdr:row>5</xdr:row>
      <xdr:rowOff>15240</xdr:rowOff>
    </xdr:from>
    <xdr:to>
      <xdr:col>10</xdr:col>
      <xdr:colOff>230606</xdr:colOff>
      <xdr:row>8</xdr:row>
      <xdr:rowOff>15240</xdr:rowOff>
    </xdr:to>
    <xdr:sp macro="" textlink="">
      <xdr:nvSpPr>
        <xdr:cNvPr id="8" name="TextBox 7">
          <a:extLst>
            <a:ext uri="{FF2B5EF4-FFF2-40B4-BE49-F238E27FC236}">
              <a16:creationId xmlns:a16="http://schemas.microsoft.com/office/drawing/2014/main" id="{6AA6ABF5-AA43-C29C-DDE7-DCD523526C86}"/>
            </a:ext>
          </a:extLst>
        </xdr:cNvPr>
        <xdr:cNvSpPr txBox="1"/>
      </xdr:nvSpPr>
      <xdr:spPr>
        <a:xfrm>
          <a:off x="4067819" y="922383"/>
          <a:ext cx="2875644" cy="544286"/>
        </a:xfrm>
        <a:prstGeom prst="rect">
          <a:avLst/>
        </a:prstGeom>
        <a:solidFill>
          <a:srgbClr val="182B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600">
              <a:solidFill>
                <a:schemeClr val="bg1"/>
              </a:solidFill>
              <a:latin typeface="Arial Black" panose="020B0A04020102020204" pitchFamily="34" charset="0"/>
            </a:rPr>
            <a:t>ToTal Sales</a:t>
          </a:r>
        </a:p>
      </xdr:txBody>
    </xdr:sp>
    <xdr:clientData/>
  </xdr:twoCellAnchor>
  <xdr:twoCellAnchor>
    <xdr:from>
      <xdr:col>6</xdr:col>
      <xdr:colOff>90236</xdr:colOff>
      <xdr:row>9</xdr:row>
      <xdr:rowOff>7620</xdr:rowOff>
    </xdr:from>
    <xdr:to>
      <xdr:col>10</xdr:col>
      <xdr:colOff>260684</xdr:colOff>
      <xdr:row>11</xdr:row>
      <xdr:rowOff>45720</xdr:rowOff>
    </xdr:to>
    <xdr:sp macro="" textlink="">
      <xdr:nvSpPr>
        <xdr:cNvPr id="9" name="TextBox 8">
          <a:extLst>
            <a:ext uri="{FF2B5EF4-FFF2-40B4-BE49-F238E27FC236}">
              <a16:creationId xmlns:a16="http://schemas.microsoft.com/office/drawing/2014/main" id="{EDF67153-1BAD-9BA0-3D37-329DAAEBAE57}"/>
            </a:ext>
          </a:extLst>
        </xdr:cNvPr>
        <xdr:cNvSpPr txBox="1"/>
      </xdr:nvSpPr>
      <xdr:spPr>
        <a:xfrm>
          <a:off x="4117950" y="1640477"/>
          <a:ext cx="2855591" cy="400957"/>
        </a:xfrm>
        <a:prstGeom prst="rect">
          <a:avLst/>
        </a:prstGeom>
        <a:solidFill>
          <a:srgbClr val="182B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0" i="0" u="none" strike="noStrike">
              <a:solidFill>
                <a:srgbClr val="E30613"/>
              </a:solidFill>
              <a:effectLst/>
              <a:latin typeface="Arial Black" panose="020B0A04020102020204" pitchFamily="34" charset="0"/>
              <a:ea typeface="+mn-ea"/>
              <a:cs typeface="+mn-cs"/>
            </a:rPr>
            <a:t>    1,230,083.82  </a:t>
          </a:r>
          <a:endParaRPr lang="en-AU" sz="1400">
            <a:solidFill>
              <a:srgbClr val="E30613"/>
            </a:solidFill>
            <a:latin typeface="Arial Black" panose="020B0A04020102020204" pitchFamily="34" charset="0"/>
          </a:endParaRPr>
        </a:p>
      </xdr:txBody>
    </xdr:sp>
    <xdr:clientData/>
  </xdr:twoCellAnchor>
  <xdr:twoCellAnchor>
    <xdr:from>
      <xdr:col>13</xdr:col>
      <xdr:colOff>481264</xdr:colOff>
      <xdr:row>4</xdr:row>
      <xdr:rowOff>170447</xdr:rowOff>
    </xdr:from>
    <xdr:to>
      <xdr:col>18</xdr:col>
      <xdr:colOff>220579</xdr:colOff>
      <xdr:row>7</xdr:row>
      <xdr:rowOff>38100</xdr:rowOff>
    </xdr:to>
    <xdr:sp macro="" textlink="">
      <xdr:nvSpPr>
        <xdr:cNvPr id="10" name="TextBox 9">
          <a:extLst>
            <a:ext uri="{FF2B5EF4-FFF2-40B4-BE49-F238E27FC236}">
              <a16:creationId xmlns:a16="http://schemas.microsoft.com/office/drawing/2014/main" id="{850EF792-1854-75AD-8CC6-78FA92EC33F0}"/>
            </a:ext>
          </a:extLst>
        </xdr:cNvPr>
        <xdr:cNvSpPr txBox="1"/>
      </xdr:nvSpPr>
      <xdr:spPr>
        <a:xfrm>
          <a:off x="9207978" y="896161"/>
          <a:ext cx="3095744" cy="411939"/>
        </a:xfrm>
        <a:prstGeom prst="rect">
          <a:avLst/>
        </a:prstGeom>
        <a:solidFill>
          <a:srgbClr val="182B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600">
              <a:solidFill>
                <a:schemeClr val="bg1"/>
              </a:solidFill>
              <a:latin typeface="Arial Black" panose="020B0A04020102020204" pitchFamily="34" charset="0"/>
            </a:rPr>
            <a:t>Total</a:t>
          </a:r>
          <a:r>
            <a:rPr lang="en-AU" sz="2400">
              <a:solidFill>
                <a:schemeClr val="bg1"/>
              </a:solidFill>
              <a:latin typeface="Arial Black" panose="020B0A04020102020204" pitchFamily="34" charset="0"/>
            </a:rPr>
            <a:t> </a:t>
          </a:r>
          <a:r>
            <a:rPr lang="en-AU" sz="1600">
              <a:solidFill>
                <a:schemeClr val="bg1"/>
              </a:solidFill>
              <a:latin typeface="Arial Black" panose="020B0A04020102020204" pitchFamily="34" charset="0"/>
            </a:rPr>
            <a:t>Order</a:t>
          </a:r>
        </a:p>
      </xdr:txBody>
    </xdr:sp>
    <xdr:clientData/>
  </xdr:twoCellAnchor>
  <xdr:twoCellAnchor>
    <xdr:from>
      <xdr:col>21</xdr:col>
      <xdr:colOff>491289</xdr:colOff>
      <xdr:row>5</xdr:row>
      <xdr:rowOff>7620</xdr:rowOff>
    </xdr:from>
    <xdr:to>
      <xdr:col>25</xdr:col>
      <xdr:colOff>481264</xdr:colOff>
      <xdr:row>8</xdr:row>
      <xdr:rowOff>15240</xdr:rowOff>
    </xdr:to>
    <xdr:sp macro="" textlink="">
      <xdr:nvSpPr>
        <xdr:cNvPr id="12" name="TextBox 11">
          <a:extLst>
            <a:ext uri="{FF2B5EF4-FFF2-40B4-BE49-F238E27FC236}">
              <a16:creationId xmlns:a16="http://schemas.microsoft.com/office/drawing/2014/main" id="{8517AF2A-E606-E316-9722-B795D3484E07}"/>
            </a:ext>
          </a:extLst>
        </xdr:cNvPr>
        <xdr:cNvSpPr txBox="1"/>
      </xdr:nvSpPr>
      <xdr:spPr>
        <a:xfrm>
          <a:off x="14588289" y="914763"/>
          <a:ext cx="2675118" cy="551906"/>
        </a:xfrm>
        <a:prstGeom prst="rect">
          <a:avLst/>
        </a:prstGeom>
        <a:solidFill>
          <a:srgbClr val="182B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600">
              <a:solidFill>
                <a:schemeClr val="bg1"/>
              </a:solidFill>
              <a:latin typeface="Arial Black" panose="020B0A04020102020204" pitchFamily="34" charset="0"/>
            </a:rPr>
            <a:t>Avg Saleing</a:t>
          </a:r>
          <a:r>
            <a:rPr lang="en-AU" sz="1600" b="0" i="0" u="none" strike="noStrike">
              <a:solidFill>
                <a:schemeClr val="bg1"/>
              </a:solidFill>
              <a:effectLst/>
              <a:latin typeface="Arial Black" panose="020B0A04020102020204" pitchFamily="34" charset="0"/>
              <a:ea typeface="+mn-ea"/>
              <a:cs typeface="+mn-cs"/>
            </a:rPr>
            <a:t>                   </a:t>
          </a:r>
          <a:endParaRPr lang="en-AU" sz="1600">
            <a:solidFill>
              <a:schemeClr val="bg1"/>
            </a:solidFill>
            <a:latin typeface="Arial Black" panose="020B0A04020102020204" pitchFamily="34" charset="0"/>
          </a:endParaRPr>
        </a:p>
      </xdr:txBody>
    </xdr:sp>
    <xdr:clientData/>
  </xdr:twoCellAnchor>
  <xdr:twoCellAnchor>
    <xdr:from>
      <xdr:col>14</xdr:col>
      <xdr:colOff>348113</xdr:colOff>
      <xdr:row>9</xdr:row>
      <xdr:rowOff>28073</xdr:rowOff>
    </xdr:from>
    <xdr:to>
      <xdr:col>17</xdr:col>
      <xdr:colOff>561474</xdr:colOff>
      <xdr:row>10</xdr:row>
      <xdr:rowOff>142373</xdr:rowOff>
    </xdr:to>
    <xdr:sp macro="" textlink="">
      <xdr:nvSpPr>
        <xdr:cNvPr id="15" name="TextBox 14">
          <a:extLst>
            <a:ext uri="{FF2B5EF4-FFF2-40B4-BE49-F238E27FC236}">
              <a16:creationId xmlns:a16="http://schemas.microsoft.com/office/drawing/2014/main" id="{BD61D709-5524-88F2-47E1-DD24B8CE3697}"/>
            </a:ext>
          </a:extLst>
        </xdr:cNvPr>
        <xdr:cNvSpPr txBox="1"/>
      </xdr:nvSpPr>
      <xdr:spPr>
        <a:xfrm flipH="1">
          <a:off x="9746113" y="1660930"/>
          <a:ext cx="2227218" cy="295729"/>
        </a:xfrm>
        <a:prstGeom prst="rect">
          <a:avLst/>
        </a:prstGeom>
        <a:solidFill>
          <a:srgbClr val="182B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U" sz="1100" b="0" i="0" u="none" strike="noStrike">
              <a:solidFill>
                <a:srgbClr val="E30613"/>
              </a:solidFill>
              <a:effectLst/>
              <a:latin typeface="+mn-lt"/>
              <a:ea typeface="+mn-ea"/>
              <a:cs typeface="+mn-cs"/>
            </a:rPr>
            <a:t>       </a:t>
          </a:r>
          <a:r>
            <a:rPr lang="en-AU" sz="1400" b="0" i="0" u="none" strike="noStrike">
              <a:solidFill>
                <a:srgbClr val="E30613"/>
              </a:solidFill>
              <a:effectLst/>
              <a:latin typeface="+mn-lt"/>
              <a:ea typeface="+mn-ea"/>
              <a:cs typeface="+mn-cs"/>
            </a:rPr>
            <a:t> </a:t>
          </a:r>
          <a:r>
            <a:rPr lang="en-AU" sz="1400" b="0" i="0" u="none" strike="noStrike">
              <a:solidFill>
                <a:srgbClr val="E30613"/>
              </a:solidFill>
              <a:effectLst/>
              <a:latin typeface="Arial Black" panose="020B0A04020102020204" pitchFamily="34" charset="0"/>
              <a:ea typeface="+mn-ea"/>
              <a:cs typeface="+mn-cs"/>
            </a:rPr>
            <a:t>82,028,633 </a:t>
          </a:r>
          <a:endParaRPr lang="en-AU" sz="1400">
            <a:solidFill>
              <a:srgbClr val="E30613"/>
            </a:solidFill>
            <a:latin typeface="Arial Black" panose="020B0A04020102020204" pitchFamily="34" charset="0"/>
          </a:endParaRPr>
        </a:p>
      </xdr:txBody>
    </xdr:sp>
    <xdr:clientData/>
  </xdr:twoCellAnchor>
  <xdr:twoCellAnchor>
    <xdr:from>
      <xdr:col>21</xdr:col>
      <xdr:colOff>421105</xdr:colOff>
      <xdr:row>9</xdr:row>
      <xdr:rowOff>40105</xdr:rowOff>
    </xdr:from>
    <xdr:to>
      <xdr:col>24</xdr:col>
      <xdr:colOff>591554</xdr:colOff>
      <xdr:row>11</xdr:row>
      <xdr:rowOff>70184</xdr:rowOff>
    </xdr:to>
    <xdr:sp macro="" textlink="">
      <xdr:nvSpPr>
        <xdr:cNvPr id="16" name="TextBox 15">
          <a:extLst>
            <a:ext uri="{FF2B5EF4-FFF2-40B4-BE49-F238E27FC236}">
              <a16:creationId xmlns:a16="http://schemas.microsoft.com/office/drawing/2014/main" id="{35F90854-109E-9F5E-C33B-6593CFFC25E9}"/>
            </a:ext>
          </a:extLst>
        </xdr:cNvPr>
        <xdr:cNvSpPr txBox="1"/>
      </xdr:nvSpPr>
      <xdr:spPr>
        <a:xfrm>
          <a:off x="14518105" y="1672962"/>
          <a:ext cx="2184306" cy="392936"/>
        </a:xfrm>
        <a:prstGeom prst="rect">
          <a:avLst/>
        </a:prstGeom>
        <a:solidFill>
          <a:srgbClr val="182B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0" i="0" u="none" strike="noStrike">
              <a:solidFill>
                <a:schemeClr val="dk1"/>
              </a:solidFill>
              <a:effectLst/>
              <a:latin typeface="+mn-lt"/>
              <a:ea typeface="+mn-ea"/>
              <a:cs typeface="+mn-cs"/>
            </a:rPr>
            <a:t>                   </a:t>
          </a:r>
          <a:r>
            <a:rPr lang="en-AU" sz="1400" b="0" i="0" u="none" strike="noStrike">
              <a:solidFill>
                <a:srgbClr val="E30613"/>
              </a:solidFill>
              <a:effectLst/>
              <a:latin typeface="Arial Black" panose="020B0A04020102020204" pitchFamily="34" charset="0"/>
              <a:ea typeface="+mn-ea"/>
              <a:cs typeface="+mn-cs"/>
            </a:rPr>
            <a:t>10,312.33 </a:t>
          </a:r>
          <a:endParaRPr lang="en-AU" sz="1400">
            <a:solidFill>
              <a:srgbClr val="E30613"/>
            </a:solidFill>
            <a:latin typeface="Arial Black" panose="020B0A04020102020204" pitchFamily="34" charset="0"/>
          </a:endParaRPr>
        </a:p>
      </xdr:txBody>
    </xdr:sp>
    <xdr:clientData/>
  </xdr:twoCellAnchor>
  <xdr:twoCellAnchor>
    <xdr:from>
      <xdr:col>5</xdr:col>
      <xdr:colOff>318437</xdr:colOff>
      <xdr:row>13</xdr:row>
      <xdr:rowOff>27873</xdr:rowOff>
    </xdr:from>
    <xdr:to>
      <xdr:col>16</xdr:col>
      <xdr:colOff>341296</xdr:colOff>
      <xdr:row>25</xdr:row>
      <xdr:rowOff>5013</xdr:rowOff>
    </xdr:to>
    <xdr:sp macro="" textlink="">
      <xdr:nvSpPr>
        <xdr:cNvPr id="17" name="Rectangle: Rounded Corners 16">
          <a:extLst>
            <a:ext uri="{FF2B5EF4-FFF2-40B4-BE49-F238E27FC236}">
              <a16:creationId xmlns:a16="http://schemas.microsoft.com/office/drawing/2014/main" id="{9F5C4324-AC22-A8AE-79AC-3DEE4DBD5841}"/>
            </a:ext>
          </a:extLst>
        </xdr:cNvPr>
        <xdr:cNvSpPr/>
      </xdr:nvSpPr>
      <xdr:spPr>
        <a:xfrm>
          <a:off x="3674866" y="2386444"/>
          <a:ext cx="7407001" cy="2154283"/>
        </a:xfrm>
        <a:prstGeom prst="round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5</xdr:col>
      <xdr:colOff>421106</xdr:colOff>
      <xdr:row>13</xdr:row>
      <xdr:rowOff>137962</xdr:rowOff>
    </xdr:from>
    <xdr:to>
      <xdr:col>16</xdr:col>
      <xdr:colOff>108685</xdr:colOff>
      <xdr:row>24</xdr:row>
      <xdr:rowOff>41309</xdr:rowOff>
    </xdr:to>
    <xdr:graphicFrame macro="">
      <xdr:nvGraphicFramePr>
        <xdr:cNvPr id="18" name="Chart 17">
          <a:extLst>
            <a:ext uri="{FF2B5EF4-FFF2-40B4-BE49-F238E27FC236}">
              <a16:creationId xmlns:a16="http://schemas.microsoft.com/office/drawing/2014/main" id="{7602CE48-463A-4B1C-8A7F-2BE260DC6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64168</xdr:colOff>
      <xdr:row>12</xdr:row>
      <xdr:rowOff>111092</xdr:rowOff>
    </xdr:from>
    <xdr:to>
      <xdr:col>27</xdr:col>
      <xdr:colOff>325254</xdr:colOff>
      <xdr:row>25</xdr:row>
      <xdr:rowOff>22058</xdr:rowOff>
    </xdr:to>
    <xdr:sp macro="" textlink="">
      <xdr:nvSpPr>
        <xdr:cNvPr id="19" name="Rectangle: Rounded Corners 18">
          <a:extLst>
            <a:ext uri="{FF2B5EF4-FFF2-40B4-BE49-F238E27FC236}">
              <a16:creationId xmlns:a16="http://schemas.microsoft.com/office/drawing/2014/main" id="{6856609A-DE99-A9D0-C203-CAB3CCDC01A0}"/>
            </a:ext>
          </a:extLst>
        </xdr:cNvPr>
        <xdr:cNvSpPr/>
      </xdr:nvSpPr>
      <xdr:spPr>
        <a:xfrm>
          <a:off x="12147311" y="2288235"/>
          <a:ext cx="6302657" cy="2269537"/>
        </a:xfrm>
        <a:prstGeom prst="round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18</xdr:col>
      <xdr:colOff>196917</xdr:colOff>
      <xdr:row>13</xdr:row>
      <xdr:rowOff>48928</xdr:rowOff>
    </xdr:from>
    <xdr:to>
      <xdr:col>26</xdr:col>
      <xdr:colOff>577917</xdr:colOff>
      <xdr:row>24</xdr:row>
      <xdr:rowOff>176062</xdr:rowOff>
    </xdr:to>
    <xdr:graphicFrame macro="">
      <xdr:nvGraphicFramePr>
        <xdr:cNvPr id="20" name="Chart 19">
          <a:extLst>
            <a:ext uri="{FF2B5EF4-FFF2-40B4-BE49-F238E27FC236}">
              <a16:creationId xmlns:a16="http://schemas.microsoft.com/office/drawing/2014/main" id="{2167CACF-2137-4B36-98C5-E21B74521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130340</xdr:colOff>
      <xdr:row>28</xdr:row>
      <xdr:rowOff>38094</xdr:rowOff>
    </xdr:from>
    <xdr:to>
      <xdr:col>13</xdr:col>
      <xdr:colOff>125528</xdr:colOff>
      <xdr:row>41</xdr:row>
      <xdr:rowOff>104883</xdr:rowOff>
    </xdr:to>
    <xdr:sp macro="" textlink="">
      <xdr:nvSpPr>
        <xdr:cNvPr id="21" name="Rectangle: Rounded Corners 20">
          <a:extLst>
            <a:ext uri="{FF2B5EF4-FFF2-40B4-BE49-F238E27FC236}">
              <a16:creationId xmlns:a16="http://schemas.microsoft.com/office/drawing/2014/main" id="{2FB43C0A-9774-AB3D-E983-AB4A4DF31AE1}"/>
            </a:ext>
          </a:extLst>
        </xdr:cNvPr>
        <xdr:cNvSpPr/>
      </xdr:nvSpPr>
      <xdr:spPr>
        <a:xfrm>
          <a:off x="2815483" y="5118094"/>
          <a:ext cx="6036759" cy="2425360"/>
        </a:xfrm>
        <a:prstGeom prst="round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13</xdr:col>
      <xdr:colOff>525178</xdr:colOff>
      <xdr:row>28</xdr:row>
      <xdr:rowOff>105778</xdr:rowOff>
    </xdr:from>
    <xdr:to>
      <xdr:col>21</xdr:col>
      <xdr:colOff>126932</xdr:colOff>
      <xdr:row>41</xdr:row>
      <xdr:rowOff>37198</xdr:rowOff>
    </xdr:to>
    <xdr:sp macro="" textlink="">
      <xdr:nvSpPr>
        <xdr:cNvPr id="22" name="Rectangle: Rounded Corners 21">
          <a:extLst>
            <a:ext uri="{FF2B5EF4-FFF2-40B4-BE49-F238E27FC236}">
              <a16:creationId xmlns:a16="http://schemas.microsoft.com/office/drawing/2014/main" id="{D4B75FA1-3D5E-F118-C206-C8BDF9806A97}"/>
            </a:ext>
          </a:extLst>
        </xdr:cNvPr>
        <xdr:cNvSpPr/>
      </xdr:nvSpPr>
      <xdr:spPr>
        <a:xfrm>
          <a:off x="9251892" y="5185778"/>
          <a:ext cx="4972040" cy="2289991"/>
        </a:xfrm>
        <a:prstGeom prst="round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14</xdr:col>
      <xdr:colOff>20051</xdr:colOff>
      <xdr:row>29</xdr:row>
      <xdr:rowOff>55746</xdr:rowOff>
    </xdr:from>
    <xdr:to>
      <xdr:col>21</xdr:col>
      <xdr:colOff>20051</xdr:colOff>
      <xdr:row>40</xdr:row>
      <xdr:rowOff>32886</xdr:rowOff>
    </xdr:to>
    <xdr:graphicFrame macro="">
      <xdr:nvGraphicFramePr>
        <xdr:cNvPr id="23" name="Chart 22">
          <a:extLst>
            <a:ext uri="{FF2B5EF4-FFF2-40B4-BE49-F238E27FC236}">
              <a16:creationId xmlns:a16="http://schemas.microsoft.com/office/drawing/2014/main" id="{A687880D-C366-4C5B-BE3F-60CF12B91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350921</xdr:colOff>
      <xdr:row>29</xdr:row>
      <xdr:rowOff>70184</xdr:rowOff>
    </xdr:from>
    <xdr:to>
      <xdr:col>12</xdr:col>
      <xdr:colOff>97055</xdr:colOff>
      <xdr:row>40</xdr:row>
      <xdr:rowOff>160421</xdr:rowOff>
    </xdr:to>
    <xdr:graphicFrame macro="">
      <xdr:nvGraphicFramePr>
        <xdr:cNvPr id="24" name="Chart 23">
          <a:extLst>
            <a:ext uri="{FF2B5EF4-FFF2-40B4-BE49-F238E27FC236}">
              <a16:creationId xmlns:a16="http://schemas.microsoft.com/office/drawing/2014/main" id="{1DFC4EF5-4519-47C3-891C-3F618C7A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526582</xdr:colOff>
      <xdr:row>28</xdr:row>
      <xdr:rowOff>33388</xdr:rowOff>
    </xdr:from>
    <xdr:to>
      <xdr:col>27</xdr:col>
      <xdr:colOff>97858</xdr:colOff>
      <xdr:row>41</xdr:row>
      <xdr:rowOff>109588</xdr:rowOff>
    </xdr:to>
    <xdr:sp macro="" textlink="">
      <xdr:nvSpPr>
        <xdr:cNvPr id="26" name="Rectangle: Rounded Corners 25">
          <a:extLst>
            <a:ext uri="{FF2B5EF4-FFF2-40B4-BE49-F238E27FC236}">
              <a16:creationId xmlns:a16="http://schemas.microsoft.com/office/drawing/2014/main" id="{949614E8-B1E5-68F7-DEC8-A1957839B6A0}"/>
            </a:ext>
          </a:extLst>
        </xdr:cNvPr>
        <xdr:cNvSpPr/>
      </xdr:nvSpPr>
      <xdr:spPr>
        <a:xfrm>
          <a:off x="14623582" y="5113388"/>
          <a:ext cx="3598990" cy="2434771"/>
        </a:xfrm>
        <a:prstGeom prst="round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22</xdr:col>
      <xdr:colOff>259079</xdr:colOff>
      <xdr:row>28</xdr:row>
      <xdr:rowOff>162426</xdr:rowOff>
    </xdr:from>
    <xdr:to>
      <xdr:col>26</xdr:col>
      <xdr:colOff>525779</xdr:colOff>
      <xdr:row>40</xdr:row>
      <xdr:rowOff>131946</xdr:rowOff>
    </xdr:to>
    <xdr:graphicFrame macro="">
      <xdr:nvGraphicFramePr>
        <xdr:cNvPr id="27" name="Chart 26">
          <a:extLst>
            <a:ext uri="{FF2B5EF4-FFF2-40B4-BE49-F238E27FC236}">
              <a16:creationId xmlns:a16="http://schemas.microsoft.com/office/drawing/2014/main" id="{5553F62B-A773-450C-8777-AB9E5DD66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605161</xdr:colOff>
      <xdr:row>44</xdr:row>
      <xdr:rowOff>100265</xdr:rowOff>
    </xdr:from>
    <xdr:to>
      <xdr:col>14</xdr:col>
      <xdr:colOff>330868</xdr:colOff>
      <xdr:row>62</xdr:row>
      <xdr:rowOff>110291</xdr:rowOff>
    </xdr:to>
    <xdr:sp macro="" textlink="">
      <xdr:nvSpPr>
        <xdr:cNvPr id="28" name="Rectangle: Rounded Corners 27">
          <a:extLst>
            <a:ext uri="{FF2B5EF4-FFF2-40B4-BE49-F238E27FC236}">
              <a16:creationId xmlns:a16="http://schemas.microsoft.com/office/drawing/2014/main" id="{20642346-E54A-EC9C-FB72-3929431038DC}"/>
            </a:ext>
          </a:extLst>
        </xdr:cNvPr>
        <xdr:cNvSpPr/>
      </xdr:nvSpPr>
      <xdr:spPr>
        <a:xfrm>
          <a:off x="3290304" y="8083122"/>
          <a:ext cx="6438564" cy="3275740"/>
        </a:xfrm>
        <a:prstGeom prst="roundRect">
          <a:avLst/>
        </a:prstGeom>
        <a:solidFill>
          <a:srgbClr val="182B49"/>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15</xdr:col>
      <xdr:colOff>565054</xdr:colOff>
      <xdr:row>44</xdr:row>
      <xdr:rowOff>150397</xdr:rowOff>
    </xdr:from>
    <xdr:to>
      <xdr:col>26</xdr:col>
      <xdr:colOff>0</xdr:colOff>
      <xdr:row>62</xdr:row>
      <xdr:rowOff>60159</xdr:rowOff>
    </xdr:to>
    <xdr:sp macro="" textlink="">
      <xdr:nvSpPr>
        <xdr:cNvPr id="29" name="Rectangle: Rounded Corners 28">
          <a:extLst>
            <a:ext uri="{FF2B5EF4-FFF2-40B4-BE49-F238E27FC236}">
              <a16:creationId xmlns:a16="http://schemas.microsoft.com/office/drawing/2014/main" id="{378798CA-1BD1-66C3-9D71-145657F804D1}"/>
            </a:ext>
          </a:extLst>
        </xdr:cNvPr>
        <xdr:cNvSpPr/>
      </xdr:nvSpPr>
      <xdr:spPr>
        <a:xfrm>
          <a:off x="10634340" y="8133254"/>
          <a:ext cx="6819089" cy="3175476"/>
        </a:xfrm>
        <a:prstGeom prst="roundRect">
          <a:avLst/>
        </a:prstGeom>
        <a:solidFill>
          <a:srgbClr val="182B49"/>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xdr:from>
      <xdr:col>5</xdr:col>
      <xdr:colOff>150395</xdr:colOff>
      <xdr:row>46</xdr:row>
      <xdr:rowOff>20052</xdr:rowOff>
    </xdr:from>
    <xdr:to>
      <xdr:col>14</xdr:col>
      <xdr:colOff>90236</xdr:colOff>
      <xdr:row>61</xdr:row>
      <xdr:rowOff>140367</xdr:rowOff>
    </xdr:to>
    <xdr:graphicFrame macro="">
      <xdr:nvGraphicFramePr>
        <xdr:cNvPr id="31" name="Chart 30">
          <a:extLst>
            <a:ext uri="{FF2B5EF4-FFF2-40B4-BE49-F238E27FC236}">
              <a16:creationId xmlns:a16="http://schemas.microsoft.com/office/drawing/2014/main" id="{873F6417-0C10-4E4C-ABD0-D2282EBA5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314395</xdr:colOff>
      <xdr:row>45</xdr:row>
      <xdr:rowOff>140368</xdr:rowOff>
    </xdr:from>
    <xdr:to>
      <xdr:col>25</xdr:col>
      <xdr:colOff>340893</xdr:colOff>
      <xdr:row>60</xdr:row>
      <xdr:rowOff>170447</xdr:rowOff>
    </xdr:to>
    <xdr:graphicFrame macro="">
      <xdr:nvGraphicFramePr>
        <xdr:cNvPr id="32" name="Chart 31">
          <a:extLst>
            <a:ext uri="{FF2B5EF4-FFF2-40B4-BE49-F238E27FC236}">
              <a16:creationId xmlns:a16="http://schemas.microsoft.com/office/drawing/2014/main" id="{FE34DB16-0A98-4E48-B226-8A3C699AB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100264</xdr:colOff>
      <xdr:row>2</xdr:row>
      <xdr:rowOff>30080</xdr:rowOff>
    </xdr:from>
    <xdr:to>
      <xdr:col>2</xdr:col>
      <xdr:colOff>50132</xdr:colOff>
      <xdr:row>10</xdr:row>
      <xdr:rowOff>20054</xdr:rowOff>
    </xdr:to>
    <xdr:sp macro="" textlink="">
      <xdr:nvSpPr>
        <xdr:cNvPr id="33" name="Oval 32">
          <a:extLst>
            <a:ext uri="{FF2B5EF4-FFF2-40B4-BE49-F238E27FC236}">
              <a16:creationId xmlns:a16="http://schemas.microsoft.com/office/drawing/2014/main" id="{C06F6DBC-4EBF-D8A7-9B53-6ED215503591}"/>
            </a:ext>
          </a:extLst>
        </xdr:cNvPr>
        <xdr:cNvSpPr/>
      </xdr:nvSpPr>
      <xdr:spPr>
        <a:xfrm>
          <a:off x="100264" y="392937"/>
          <a:ext cx="1292439" cy="1441403"/>
        </a:xfrm>
        <a:prstGeom prst="ellipse">
          <a:avLst/>
        </a:prstGeom>
        <a:solidFill>
          <a:srgbClr val="182B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ar-EG"/>
        </a:p>
      </xdr:txBody>
    </xdr:sp>
    <xdr:clientData/>
  </xdr:twoCellAnchor>
  <xdr:twoCellAnchor editAs="oneCell">
    <xdr:from>
      <xdr:col>0</xdr:col>
      <xdr:colOff>420730</xdr:colOff>
      <xdr:row>18</xdr:row>
      <xdr:rowOff>22006</xdr:rowOff>
    </xdr:from>
    <xdr:to>
      <xdr:col>3</xdr:col>
      <xdr:colOff>460834</xdr:colOff>
      <xdr:row>31</xdr:row>
      <xdr:rowOff>110392</xdr:rowOff>
    </xdr:to>
    <mc:AlternateContent xmlns:mc="http://schemas.openxmlformats.org/markup-compatibility/2006" xmlns:a14="http://schemas.microsoft.com/office/drawing/2010/main">
      <mc:Choice Requires="a14">
        <xdr:graphicFrame macro="">
          <xdr:nvGraphicFramePr>
            <xdr:cNvPr id="40" name="منصة البيع 2">
              <a:extLst>
                <a:ext uri="{FF2B5EF4-FFF2-40B4-BE49-F238E27FC236}">
                  <a16:creationId xmlns:a16="http://schemas.microsoft.com/office/drawing/2014/main" id="{3CCA865E-C6E1-4A47-8AFE-DC8E209C0E8F}"/>
                </a:ext>
              </a:extLst>
            </xdr:cNvPr>
            <xdr:cNvGraphicFramePr/>
          </xdr:nvGraphicFramePr>
          <xdr:xfrm>
            <a:off x="0" y="0"/>
            <a:ext cx="0" cy="0"/>
          </xdr:xfrm>
          <a:graphic>
            <a:graphicData uri="http://schemas.microsoft.com/office/drawing/2010/slicer">
              <sle:slicer xmlns:sle="http://schemas.microsoft.com/office/drawing/2010/slicer" name="منصة البيع 2"/>
            </a:graphicData>
          </a:graphic>
        </xdr:graphicFrame>
      </mc:Choice>
      <mc:Fallback xmlns="">
        <xdr:sp macro="" textlink="">
          <xdr:nvSpPr>
            <xdr:cNvPr id="0" name=""/>
            <xdr:cNvSpPr>
              <a:spLocks noTextEdit="1"/>
            </xdr:cNvSpPr>
          </xdr:nvSpPr>
          <xdr:spPr>
            <a:xfrm>
              <a:off x="420730" y="3276650"/>
              <a:ext cx="1861155" cy="243896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292686</xdr:colOff>
      <xdr:row>34</xdr:row>
      <xdr:rowOff>124459</xdr:rowOff>
    </xdr:from>
    <xdr:to>
      <xdr:col>3</xdr:col>
      <xdr:colOff>292686</xdr:colOff>
      <xdr:row>47</xdr:row>
      <xdr:rowOff>153034</xdr:rowOff>
    </xdr:to>
    <mc:AlternateContent xmlns:mc="http://schemas.openxmlformats.org/markup-compatibility/2006" xmlns:a14="http://schemas.microsoft.com/office/drawing/2010/main">
      <mc:Choice Requires="a14">
        <xdr:graphicFrame macro="">
          <xdr:nvGraphicFramePr>
            <xdr:cNvPr id="41" name="العنوان 2">
              <a:extLst>
                <a:ext uri="{FF2B5EF4-FFF2-40B4-BE49-F238E27FC236}">
                  <a16:creationId xmlns:a16="http://schemas.microsoft.com/office/drawing/2014/main" id="{5AFC81D7-60D0-42AF-93A8-78997906D95E}"/>
                </a:ext>
              </a:extLst>
            </xdr:cNvPr>
            <xdr:cNvGraphicFramePr/>
          </xdr:nvGraphicFramePr>
          <xdr:xfrm>
            <a:off x="0" y="0"/>
            <a:ext cx="0" cy="0"/>
          </xdr:xfrm>
          <a:graphic>
            <a:graphicData uri="http://schemas.microsoft.com/office/drawing/2010/slicer">
              <sle:slicer xmlns:sle="http://schemas.microsoft.com/office/drawing/2010/slicer" name="العنوان 2"/>
            </a:graphicData>
          </a:graphic>
        </xdr:graphicFrame>
      </mc:Choice>
      <mc:Fallback xmlns="">
        <xdr:sp macro="" textlink="">
          <xdr:nvSpPr>
            <xdr:cNvPr id="0" name=""/>
            <xdr:cNvSpPr>
              <a:spLocks noTextEdit="1"/>
            </xdr:cNvSpPr>
          </xdr:nvSpPr>
          <xdr:spPr>
            <a:xfrm>
              <a:off x="292686" y="6272120"/>
              <a:ext cx="1821051" cy="237915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257907</xdr:colOff>
      <xdr:row>51</xdr:row>
      <xdr:rowOff>21167</xdr:rowOff>
    </xdr:from>
    <xdr:to>
      <xdr:col>3</xdr:col>
      <xdr:colOff>257907</xdr:colOff>
      <xdr:row>69</xdr:row>
      <xdr:rowOff>169333</xdr:rowOff>
    </xdr:to>
    <mc:AlternateContent xmlns:mc="http://schemas.openxmlformats.org/markup-compatibility/2006" xmlns:a14="http://schemas.microsoft.com/office/drawing/2010/main">
      <mc:Choice Requires="a14">
        <xdr:graphicFrame macro="">
          <xdr:nvGraphicFramePr>
            <xdr:cNvPr id="42" name="سعر البيع ">
              <a:extLst>
                <a:ext uri="{FF2B5EF4-FFF2-40B4-BE49-F238E27FC236}">
                  <a16:creationId xmlns:a16="http://schemas.microsoft.com/office/drawing/2014/main" id="{CF4A7271-3CE3-4D2D-A822-8D2A0119156C}"/>
                </a:ext>
              </a:extLst>
            </xdr:cNvPr>
            <xdr:cNvGraphicFramePr/>
          </xdr:nvGraphicFramePr>
          <xdr:xfrm>
            <a:off x="0" y="0"/>
            <a:ext cx="0" cy="0"/>
          </xdr:xfrm>
          <a:graphic>
            <a:graphicData uri="http://schemas.microsoft.com/office/drawing/2010/slicer">
              <sle:slicer xmlns:sle="http://schemas.microsoft.com/office/drawing/2010/slicer" name="سعر البيع "/>
            </a:graphicData>
          </a:graphic>
        </xdr:graphicFrame>
      </mc:Choice>
      <mc:Fallback xmlns="">
        <xdr:sp macro="" textlink="">
          <xdr:nvSpPr>
            <xdr:cNvPr id="0" name=""/>
            <xdr:cNvSpPr>
              <a:spLocks noTextEdit="1"/>
            </xdr:cNvSpPr>
          </xdr:nvSpPr>
          <xdr:spPr>
            <a:xfrm>
              <a:off x="257907" y="9242659"/>
              <a:ext cx="1821051" cy="340281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sh%20board%20(Repai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Table"/>
      <sheetName val="Pivot Table"/>
      <sheetName val="Dashboard"/>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HP/AppData/Roaming/Microsoft/Excel/MISUO%20-%20Your%20Full%20Name%20(1)%20(version%203).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1.793427430559" createdVersion="7" refreshedVersion="7" minRefreshableVersion="3" recordCount="121" xr:uid="{EFF325C3-07F8-4058-9BB0-8EC3B4217B0F}">
  <cacheSource type="worksheet">
    <worksheetSource name="bb"/>
  </cacheSource>
  <cacheFields count="26">
    <cacheField name="أسم العميل" numFmtId="0">
      <sharedItems count="73">
        <s v="خالد عبد القوى"/>
        <s v="محمود"/>
        <s v="سعيد"/>
        <s v="ساندرا"/>
        <s v="زينا"/>
        <s v="شيك هومز"/>
        <s v="احمد"/>
        <s v="yilmaz"/>
        <s v="تاكي"/>
        <s v="على رشوان"/>
        <s v="احمد فخرى"/>
        <s v="لينا"/>
        <s v="فيصل نعيم"/>
        <s v="ellho elkafy"/>
        <s v="صفاء"/>
        <s v="حسن حازم"/>
        <s v="اوسكار راتن"/>
        <s v="صفاء الحكيم"/>
        <s v="يوسف شناوى"/>
        <s v="حاتم العيسوي"/>
        <s v="رنا"/>
        <s v="عبير نور الدين"/>
        <s v="اسراء ابو العنين"/>
        <s v="وائل صادق"/>
        <s v="حسن مغرب"/>
        <s v="على السيد"/>
        <s v="هشام بسيونى"/>
        <s v="ساره وجيه"/>
        <s v="مها"/>
        <s v="بسام الشربينى"/>
        <s v="هبه عبد الفتاح"/>
        <s v="اسراء ابراهيم"/>
        <s v="طارق كمال"/>
        <s v="ديفد بهجت"/>
        <s v="اياد"/>
        <s v="ميار خورشد"/>
        <s v="عبد الله سيد"/>
        <s v="كينج سونا"/>
        <s v="احمد خالد"/>
        <s v="ساره"/>
        <s v="احمد ايمن"/>
        <s v="مصطفي غنيم"/>
        <s v="حسام عبدون"/>
        <s v="رامى"/>
        <s v="رحاب"/>
        <s v="فؤاد المنسي"/>
        <s v="mohannad"/>
        <s v="Mohamed Ayman"/>
        <s v="اسامه"/>
        <s v="ولاء بدوى"/>
        <s v="عبد الرحمن يسري"/>
        <s v="الحج محمد السويس"/>
        <s v="عمرو الأسود"/>
        <s v="keira"/>
        <s v="tarek"/>
        <s v="reem"/>
        <s v="هشام سامى"/>
        <s v="فاطمه محمد"/>
        <s v="بولا هومزمارت"/>
        <s v="محمد شكرى"/>
        <s v="منزلى"/>
        <s v="حماده"/>
        <s v="صفاء عبد الباقي"/>
        <s v="رندا العامرى"/>
        <s v="محمد حمدى"/>
        <s v="بافلى هانى"/>
        <s v="رنا ميلاد"/>
        <s v="محمد ناجى"/>
        <s v="احمد عبد الستار"/>
        <s v="محمد عادل"/>
        <s v="مريم عنان"/>
        <s v="هبه عطيه"/>
        <s v="حمدى ذكرى"/>
      </sharedItems>
    </cacheField>
    <cacheField name="نوع العميل " numFmtId="0">
      <sharedItems count="2">
        <s v="فرد "/>
        <s v="شركة "/>
      </sharedItems>
    </cacheField>
    <cacheField name="الوضع " numFmtId="0">
      <sharedItems/>
    </cacheField>
    <cacheField name="المحافظة " numFmtId="0">
      <sharedItems count="9">
        <s v="الجيزة"/>
        <s v="الإسكندرية"/>
        <s v="مطروح"/>
        <s v="البحر الأحمر"/>
        <s v="القاهرة"/>
        <s v="القليوبية"/>
        <s v="العين السخنه"/>
        <s v="السويس "/>
        <s v="مخزن شيك هومز"/>
      </sharedItems>
    </cacheField>
    <cacheField name="العنوان" numFmtId="0">
      <sharedItems/>
    </cacheField>
    <cacheField name="منصة البيع " numFmtId="0">
      <sharedItems count="11">
        <s v="هومزمارت"/>
        <s v="شيك هومز "/>
        <s v="فيس بوك"/>
        <s v="تاكي"/>
        <s v="تاكي "/>
        <s v="اوسكار ريتن "/>
        <s v="شيك هومز"/>
        <s v="السويس"/>
        <s v="منزلى "/>
        <s v="منزلى"/>
        <s v="كيمت "/>
      </sharedItems>
    </cacheField>
    <cacheField name="نوع المنتج" numFmtId="0">
      <sharedItems count="7">
        <s v="سرير"/>
        <s v="ترابيزه"/>
        <s v="كنبة "/>
        <s v="ركنة"/>
        <s v="كرسى"/>
        <s v="شيزلونج"/>
        <s v="سرير "/>
      </sharedItems>
    </cacheField>
    <cacheField name="تفاصيل المنتج" numFmtId="0">
      <sharedItems/>
    </cacheField>
    <cacheField name="الاسم" numFmtId="0">
      <sharedItems containsBlank="1"/>
    </cacheField>
    <cacheField name="المقاس" numFmtId="0">
      <sharedItems containsBlank="1" containsMixedTypes="1" containsNumber="1" containsInteger="1" minValue="80" maxValue="160"/>
    </cacheField>
    <cacheField name="الوان المعدن" numFmtId="0">
      <sharedItems containsBlank="1" count="14">
        <s v="غير معروف"/>
        <s v="ازرق"/>
        <s v="رمادى"/>
        <m/>
        <s v="أبيض"/>
        <s v="أسود"/>
        <s v="دهبي"/>
        <s v="بنفسجى"/>
        <s v="أسود وبنى"/>
        <s v="أسود "/>
        <s v="ملون"/>
        <s v="بينك"/>
        <s v="نبيتى "/>
        <s v="الوان"/>
      </sharedItems>
    </cacheField>
    <cacheField name="سعر البيع " numFmtId="0">
      <sharedItems containsMixedTypes="1" containsNumber="1" minValue="4020" maxValue="22000"/>
    </cacheField>
    <cacheField name="طريقه الدفع " numFmtId="0">
      <sharedItems containsMixedTypes="1" containsNumber="1" minValue="1278.53" maxValue="22000"/>
    </cacheField>
    <cacheField name="طريقة الدفع " numFmtId="0">
      <sharedItems containsMixedTypes="1" containsNumber="1" containsInteger="1" minValue="0" maxValue="0" count="5">
        <s v="مسبق الدفع"/>
        <s v="كاش"/>
        <s v="حساب شركه"/>
        <s v="غير معروف"/>
        <n v="0" u="1"/>
      </sharedItems>
    </cacheField>
    <cacheField name="ميعاد الطلب" numFmtId="14">
      <sharedItems containsNonDate="0" containsDate="1" containsString="0" containsBlank="1" minDate="2024-07-27T00:00:00" maxDate="2025-07-28T00:00:00" count="54">
        <d v="2024-07-27T00:00:00"/>
        <d v="2024-07-28T00:00:00"/>
        <d v="2024-08-25T00:00:00"/>
        <d v="2024-08-16T00:00:00"/>
        <d v="2024-08-14T00:00:00"/>
        <d v="2024-08-17T00:00:00"/>
        <d v="2024-08-19T00:00:00"/>
        <m/>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2-01T00:00:00"/>
        <d v="2024-12-04T00:00:00"/>
        <d v="2024-12-09T00:00:00"/>
        <d v="2024-12-12T00:00:00"/>
        <d v="2025-07-27T00:00:00"/>
      </sharedItems>
      <fieldGroup par="24" base="14">
        <rangePr groupBy="months" startDate="2024-07-27T00:00:00" endDate="2025-07-28T00:00:00"/>
        <groupItems count="14">
          <s v="(blank)"/>
          <s v="يناير"/>
          <s v="فبراير"/>
          <s v="مارس"/>
          <s v="أبريل"/>
          <s v="مايو"/>
          <s v="يونيو"/>
          <s v="يوليو"/>
          <s v="أغسطس"/>
          <s v="سبتمبر"/>
          <s v="أكتوبر"/>
          <s v="نوفمبر"/>
          <s v="ديسمبر"/>
          <s v="&gt;28/07/2025"/>
        </groupItems>
      </fieldGroup>
    </cacheField>
    <cacheField name="ميعاد التسليم" numFmtId="14">
      <sharedItems containsNonDate="0" containsDate="1" containsString="0" containsBlank="1" minDate="2024-08-20T00:00:00" maxDate="2025-01-01T00:00:00" count="54">
        <m/>
        <d v="2024-09-07T00:00:00"/>
        <d v="2024-08-31T00:00:00"/>
        <d v="2024-09-03T00:00:00"/>
        <d v="2024-08-20T00:00:00"/>
        <d v="2024-09-01T00:00:00"/>
        <d v="2024-09-15T00:00:00"/>
        <d v="2024-09-16T00:00:00"/>
        <d v="2024-09-14T00:00:00"/>
        <d v="2024-09-18T00:00:00"/>
        <d v="2024-10-16T00:00:00"/>
        <d v="2024-09-17T00:00:00"/>
        <d v="2024-09-19T00:00:00"/>
        <d v="2024-09-21T00:00:00"/>
        <d v="2024-09-22T00:00:00"/>
        <d v="2024-09-24T00:00:00"/>
        <d v="2024-09-26T00:00:00"/>
        <d v="2024-09-27T00:00:00"/>
        <d v="2024-09-29T00:00:00"/>
        <d v="2024-09-30T00:00:00"/>
        <d v="2024-10-29T00:00:00"/>
        <d v="2024-11-20T00:00:00"/>
        <d v="2024-10-30T00:00:00"/>
        <d v="2024-10-05T00:00:00"/>
        <d v="2024-10-08T00:00:00"/>
        <d v="2024-11-10T00:00:00"/>
        <d v="2024-10-14T00:00:00"/>
        <d v="2024-10-20T00:00:00"/>
        <d v="2024-10-12T00:00:00"/>
        <d v="2024-10-09T00:00:00"/>
        <d v="2024-11-17T00:00:00"/>
        <d v="2024-10-31T00:00:00"/>
        <d v="2024-12-17T00:00:00"/>
        <d v="2024-12-19T00:00:00"/>
        <d v="2024-12-22T00:00:00"/>
        <d v="2024-11-12T00:00:00"/>
        <d v="2024-11-14T00:00:00"/>
        <d v="2024-11-16T00:00:00"/>
        <d v="2024-11-11T00:00:00"/>
        <d v="2024-11-26T00:00:00"/>
        <d v="2024-12-03T00:00:00"/>
        <d v="2024-11-22T00:00:00"/>
        <d v="2024-11-24T00:00:00"/>
        <d v="2024-11-30T00:00:00"/>
        <d v="2024-11-27T00:00:00"/>
        <d v="2024-11-28T00:00:00"/>
        <d v="2024-12-05T00:00:00"/>
        <d v="2024-12-02T00:00:00"/>
        <d v="2024-12-10T00:00:00"/>
        <d v="2024-12-15T00:00:00"/>
        <d v="2024-12-14T00:00:00"/>
        <d v="2024-12-31T00:00:00"/>
        <d v="2024-12-24T00:00:00"/>
        <d v="2024-12-28T00:00:00"/>
      </sharedItems>
      <fieldGroup par="25" base="15">
        <rangePr groupBy="days" startDate="2024-08-20T00:00:00" endDate="2025-01-01T00:00:00"/>
        <groupItems count="368">
          <s v="(blank)"/>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01/01/2025"/>
        </groupItems>
      </fieldGroup>
    </cacheField>
    <cacheField name="تاريخ التسليم" numFmtId="14">
      <sharedItems containsNonDate="0" containsDate="1" containsString="0" containsBlank="1" minDate="2024-08-10T00:00:00" maxDate="2025-08-11T00:00:00" count="45">
        <d v="2024-08-10T00:00:00"/>
        <d v="2024-08-11T00:00:00"/>
        <m/>
        <d v="2024-08-27T00:00:00"/>
        <d v="2024-09-05T00:00:00"/>
        <d v="2024-08-19T00:00:00"/>
        <d v="2024-09-10T00:00:00"/>
        <d v="2024-09-17T00:00:00"/>
        <d v="2024-09-08T00:00:00"/>
        <d v="2024-09-25T00:00:00"/>
        <d v="2024-09-15T00:00:00"/>
        <d v="2024-09-21T00:00:00"/>
        <d v="2024-09-22T00:00:00"/>
        <d v="2024-09-24T00:00:00"/>
        <d v="2024-09-30T00:00:00"/>
        <d v="2024-10-03T00:00:00"/>
        <d v="2024-10-02T00:00:00"/>
        <d v="2024-10-16T00:00:00"/>
        <d v="2024-10-20T00:00:00"/>
        <d v="2024-10-15T00:00:00"/>
        <d v="2024-10-04T00:00:00"/>
        <d v="2024-10-21T00:00:00"/>
        <d v="2024-10-30T00:00:00"/>
        <d v="2024-10-19T00:00:00"/>
        <d v="2024-10-13T00:00:00"/>
        <d v="2024-10-17T00:00:00"/>
        <d v="2024-10-01T00:00:00"/>
        <d v="2024-10-09T00:00:00"/>
        <d v="2024-11-14T00:00:00"/>
        <d v="2024-10-12T00:00:00"/>
        <d v="2024-10-10T00:00:00"/>
        <d v="2024-11-02T00:00:00"/>
        <d v="2024-12-03T00:00:00"/>
        <d v="2024-11-18T00:00:00"/>
        <d v="2024-11-21T00:00:00"/>
        <d v="2024-11-27T00:00:00"/>
        <d v="2024-11-25T00:00:00"/>
        <d v="2024-11-26T00:00:00"/>
        <d v="2024-12-10T00:00:00"/>
        <d v="2024-11-20T00:00:00"/>
        <d v="2024-12-23T00:00:00"/>
        <d v="2024-12-19T00:00:00"/>
        <d v="2024-12-12T00:00:00"/>
        <d v="2024-12-29T00:00:00"/>
        <d v="2025-08-10T00:00:00"/>
      </sharedItems>
      <fieldGroup par="22" base="16">
        <rangePr groupBy="months" startDate="2024-08-10T00:00:00" endDate="2025-08-11T00:00:00"/>
        <groupItems count="14">
          <s v="(blank)"/>
          <s v="يناير"/>
          <s v="فبراير"/>
          <s v="مارس"/>
          <s v="أبريل"/>
          <s v="مايو"/>
          <s v="يونيو"/>
          <s v="يوليو"/>
          <s v="أغسطس"/>
          <s v="سبتمبر"/>
          <s v="أكتوبر"/>
          <s v="نوفمبر"/>
          <s v="ديسمبر"/>
          <s v="&gt;11/08/2025"/>
        </groupItems>
      </fieldGroup>
    </cacheField>
    <cacheField name="أيام التسليم المتفق عليه " numFmtId="0">
      <sharedItems containsSemiMixedTypes="0" containsString="0" containsNumber="1" containsInteger="1" minValue="0" maxValue="67" count="27">
        <n v="0"/>
        <n v="13"/>
        <n v="15"/>
        <n v="20"/>
        <n v="3"/>
        <n v="9"/>
        <n v="21"/>
        <n v="12"/>
        <n v="14"/>
        <n v="10"/>
        <n v="11"/>
        <n v="43"/>
        <n v="8"/>
        <n v="18"/>
        <n v="17"/>
        <n v="32"/>
        <n v="45"/>
        <n v="67"/>
        <n v="66"/>
        <n v="44"/>
        <n v="22"/>
        <n v="65"/>
        <n v="64"/>
        <n v="28"/>
        <n v="24"/>
        <n v="25"/>
        <n v="16"/>
      </sharedItems>
    </cacheField>
    <cacheField name="أيام التسليم الفعلي " numFmtId="0">
      <sharedItems containsSemiMixedTypes="0" containsString="0" containsNumber="1" containsInteger="1" minValue="0" maxValue="59" count="37">
        <n v="14"/>
        <n v="0"/>
        <n v="2"/>
        <n v="22"/>
        <n v="16"/>
        <n v="29"/>
        <n v="23"/>
        <n v="7"/>
        <n v="21"/>
        <n v="12"/>
        <n v="15"/>
        <n v="13"/>
        <n v="20"/>
        <n v="10"/>
        <n v="17"/>
        <n v="18"/>
        <n v="33"/>
        <n v="37"/>
        <n v="32"/>
        <n v="46"/>
        <n v="31"/>
        <n v="35"/>
        <n v="25"/>
        <n v="34"/>
        <n v="59"/>
        <n v="24"/>
        <n v="8"/>
        <n v="5"/>
        <n v="47"/>
        <n v="27"/>
        <n v="28"/>
        <n v="6"/>
        <n v="11"/>
        <n v="9"/>
        <n v="1"/>
        <n v="26"/>
        <n v="3"/>
      </sharedItems>
    </cacheField>
    <cacheField name="المسئول عن التسليم" numFmtId="0">
      <sharedItems count="6">
        <s v=" شركه شحن"/>
        <s v="فشل التسليم "/>
        <s v="محمود على "/>
        <s v="لاغي "/>
        <s v=" الحج سيد "/>
        <s v="محمد"/>
      </sharedItems>
    </cacheField>
    <cacheField name="الحاله" numFmtId="0">
      <sharedItems count="5">
        <s v="تم التسليم"/>
        <s v="فشل التسليم"/>
        <s v="لاغي"/>
        <s v="مرتجع"/>
        <s v="تم التسليم " u="1"/>
      </sharedItems>
    </cacheField>
    <cacheField name="Quarters" numFmtId="0" databaseField="0">
      <fieldGroup base="16">
        <rangePr groupBy="quarters" startDate="2024-08-10T00:00:00" endDate="2025-08-11T00:00:00"/>
        <groupItems count="6">
          <s v="&lt;10/08/2024"/>
          <s v="Qtr1"/>
          <s v="Qtr2"/>
          <s v="Qtr3"/>
          <s v="Qtr4"/>
          <s v="&gt;11/08/2025"/>
        </groupItems>
      </fieldGroup>
    </cacheField>
    <cacheField name="Years" numFmtId="0" databaseField="0">
      <fieldGroup base="16">
        <rangePr groupBy="years" startDate="2024-08-10T00:00:00" endDate="2025-08-11T00:00:00"/>
        <groupItems count="4">
          <s v="&lt;10/08/2024"/>
          <s v="2024"/>
          <s v="2025"/>
          <s v="&gt;11/08/2025"/>
        </groupItems>
      </fieldGroup>
    </cacheField>
    <cacheField name="Quarters2" numFmtId="0" databaseField="0">
      <fieldGroup base="14">
        <rangePr groupBy="quarters" startDate="2024-07-27T00:00:00" endDate="2025-07-28T00:00:00"/>
        <groupItems count="6">
          <s v="&lt;27/07/2024"/>
          <s v="Qtr1"/>
          <s v="Qtr2"/>
          <s v="Qtr3"/>
          <s v="Qtr4"/>
          <s v="&gt;28/07/2025"/>
        </groupItems>
      </fieldGroup>
    </cacheField>
    <cacheField name="Years2" numFmtId="0" databaseField="0">
      <fieldGroup base="14">
        <rangePr groupBy="years" startDate="2024-07-27T00:00:00" endDate="2025-07-28T00:00:00"/>
        <groupItems count="4">
          <s v="&lt;27/07/2024"/>
          <s v="2024"/>
          <s v="2025"/>
          <s v="&gt;28/07/2025"/>
        </groupItems>
      </fieldGroup>
    </cacheField>
    <cacheField name="Months" numFmtId="0" databaseField="0">
      <fieldGroup base="15">
        <rangePr groupBy="months" startDate="2024-08-20T00:00:00" endDate="2025-01-01T00:00:00"/>
        <groupItems count="14">
          <s v="&lt;20/08/2024"/>
          <s v="يناير"/>
          <s v="فبراير"/>
          <s v="مارس"/>
          <s v="أبريل"/>
          <s v="مايو"/>
          <s v="يونيو"/>
          <s v="يوليو"/>
          <s v="أغسطس"/>
          <s v="سبتمبر"/>
          <s v="أكتوبر"/>
          <s v="نوفمبر"/>
          <s v="ديسمبر"/>
          <s v="&gt;01/01/2025"/>
        </groupItems>
      </fieldGroup>
    </cacheField>
  </cacheFields>
  <extLst>
    <ext xmlns:x14="http://schemas.microsoft.com/office/spreadsheetml/2009/9/main" uri="{725AE2AE-9491-48be-B2B4-4EB974FC3084}">
      <x14:pivotCacheDefinition pivotCacheId="2580937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allah Khadash" refreshedDate="46053.867936921299" createdVersion="8" refreshedVersion="8" minRefreshableVersion="3" recordCount="121" xr:uid="{6B13853B-5465-4735-9049-6D9681C8595E}">
  <cacheSource type="worksheet">
    <worksheetSource ref="A1:U122" sheet="cleaned-Data" r:id="rId2"/>
  </cacheSource>
  <cacheFields count="26">
    <cacheField name="رقم العميل" numFmtId="0">
      <sharedItems containsSemiMixedTypes="0" containsString="0" containsNumber="1" containsInteger="1" minValue="1" maxValue="123"/>
    </cacheField>
    <cacheField name="رقم العملية" numFmtId="0">
      <sharedItems containsBlank="1" containsMixedTypes="1" containsNumber="1" containsInteger="1" minValue="2514" maxValue="265453625"/>
    </cacheField>
    <cacheField name="رقم الطلب" numFmtId="0">
      <sharedItems containsString="0" containsBlank="1" containsNumber="1" containsInteger="1" minValue="2514" maxValue="1708226"/>
    </cacheField>
    <cacheField name="أسم العميل" numFmtId="0">
      <sharedItems count="75">
        <s v="خالد عبد القوى "/>
        <s v="محمود"/>
        <s v="سعيد"/>
        <s v="ساندرا"/>
        <s v="زينا "/>
        <s v="شيك هومز "/>
        <s v="احمد "/>
        <s v="yilmaz"/>
        <s v="تاكى "/>
        <s v="على رشوان "/>
        <s v="احمد فخرى "/>
        <s v="لينا "/>
        <s v="فيصل نعيم "/>
        <s v="ellho elkafy"/>
        <s v="تاكى"/>
        <s v="صفاء"/>
        <s v="حسن حازم"/>
        <s v="اوسكار راتن"/>
        <s v="صفاء الحكيم"/>
        <s v="يوسف شناوى"/>
        <s v="حاتم العيسوي "/>
        <s v="رنا "/>
        <s v="عبير نور الدين"/>
        <s v="اسراء ابو العنين "/>
        <s v="وائل صادق"/>
        <s v="حسن مغرب "/>
        <s v="على السيد "/>
        <s v="هشام بسيونى "/>
        <s v="ساره وجيه "/>
        <s v="مها "/>
        <s v="بسام الشربينى "/>
        <s v="هبه عبد الفتاح "/>
        <s v="اسراء ابراهيم "/>
        <s v="طارق كمال "/>
        <s v="ديفد بهجت "/>
        <s v="اياد "/>
        <s v="ميار خورشد"/>
        <s v="عبد الله سيد "/>
        <s v="كينج سونا "/>
        <s v="احمد خالد "/>
        <s v="ساره"/>
        <s v="احمد ايمن "/>
        <s v="مصطفي غنيم "/>
        <s v="حسام عبدون"/>
        <s v="رامى "/>
        <s v="رحاب"/>
        <s v="فؤاد المنسي "/>
        <s v="mohannad"/>
        <s v="Mohamed Ayman"/>
        <s v="اسامه"/>
        <s v="ولاء بدوى"/>
        <s v="عبد الرحمن يسري"/>
        <s v="الحج محمد السويس"/>
        <s v="عمرو الأسود"/>
        <s v="keira"/>
        <s v="tarek"/>
        <s v="reem"/>
        <s v="هشام سامى"/>
        <s v="فاطمه محمد"/>
        <s v="بولا هومزمارت"/>
        <s v="محمد شكرى "/>
        <s v="شيك هومز"/>
        <s v="منزلى"/>
        <s v="حماده"/>
        <s v="صفاء عبد الباقي"/>
        <s v="رندا العامرى "/>
        <s v="محمد حمدى"/>
        <s v="بافلى هانى "/>
        <s v="رنا ميلاد"/>
        <s v="محمد ناجى"/>
        <s v="احمد عبد الستار"/>
        <s v="محمد عادل "/>
        <s v="مريم عنان"/>
        <s v="هبه عطيه "/>
        <s v="حمدى ذكرى"/>
      </sharedItems>
    </cacheField>
    <cacheField name="العنوان 2" numFmtId="0">
      <sharedItems count="44">
        <s v="العجوزه - الجيزه"/>
        <s v="سموحه - اسكندريه"/>
        <s v="سيدى عبد الرحمن - الساحل الشمالى"/>
        <s v="الغردقه"/>
        <s v=""/>
        <s v="التجمع الخامس"/>
        <s v="٦ اكتوبر الجيزه"/>
        <s v="العباسيه"/>
        <s v="مصر الجديده"/>
        <s v="المقطم"/>
        <s v="مدينه نصر"/>
        <s v="القاهره الجديده"/>
        <s v="المعادى"/>
        <s v="مخزن اوسكار في القناطر"/>
        <s v="العين السخنه"/>
        <s v="الابراهيميه . الإسكندرية"/>
        <s v="القطاميه"/>
        <s v="١٨ شارع البحيري بولاق الدكرور الجيزه"/>
        <s v="الشروق"/>
        <s v="حدايق الاهرام"/>
        <s v="لافيستا العين السخنه"/>
        <s v="فيصل الجيزه"/>
        <s v="الشيخ زايد ٦ اكتوبر"/>
        <s v="الرحاب"/>
        <s v="العبور"/>
        <s v="اسيوط"/>
        <s v="Madinet Badr"/>
        <s v="المخزن ابو الغيط"/>
        <s v="السويس"/>
        <s v="الزمالك"/>
        <s v="مخزن شيك هومز"/>
        <s v="البطاش اسكندريه"/>
        <s v="41 كومبوند جولدن جستس الدور 4 شقه 4"/>
        <s v="مدينتى"/>
        <s v="شبرا"/>
        <s v="جليم الإسكندرية"/>
        <s v="المندره اسكندريه"/>
        <s v="اب تاون كايرو التجمع"/>
        <s v="الشروق القاهره" u="1"/>
        <s v="EL-Maadi" u="1"/>
        <s v="اكتوبر الجيزه" u="1"/>
        <s v="المعرض مدينه نصر" u="1"/>
        <s v="الشيخ زايد اكتوبر" u="1"/>
        <s v="المخزن" u="1"/>
      </sharedItems>
    </cacheField>
    <cacheField name="العنوان" numFmtId="0">
      <sharedItems containsBlank="1"/>
    </cacheField>
    <cacheField name="منصة البيع 2" numFmtId="0">
      <sharedItems count="8">
        <s v="هومزمارت"/>
        <s v="شيك هومز"/>
        <s v="فيس بوك"/>
        <s v="تاكى"/>
        <s v="اوسكار ريتن"/>
        <s v="السويس"/>
        <s v="منزلى"/>
        <s v="كيمت"/>
      </sharedItems>
    </cacheField>
    <cacheField name="منصة البيع " numFmtId="0">
      <sharedItems/>
    </cacheField>
    <cacheField name="نوع المنتج 2" numFmtId="0">
      <sharedItems count="6">
        <s v="سرير"/>
        <s v="ترابيزه"/>
        <s v="كنبة"/>
        <s v="ركنة"/>
        <s v="كرسى"/>
        <s v="شيزلونج"/>
      </sharedItems>
    </cacheField>
    <cacheField name="نوع المنتج" numFmtId="0">
      <sharedItems/>
    </cacheField>
    <cacheField name="تفاصيل المنتج 2" numFmtId="0">
      <sharedItems count="14">
        <s v="منطبق"/>
        <s v="دورين"/>
        <s v=""/>
        <s v="4×1"/>
        <s v="فردى"/>
        <s v="ركنة بسرير"/>
        <s v="سحارة"/>
        <s v="2 ميكانزم"/>
        <s v="فنيسيا"/>
        <s v="رف سحاب"/>
        <s v="ثلاثه ادوار"/>
        <s v="بمكتبة"/>
        <s v="t1"/>
        <s v="دوران"/>
      </sharedItems>
    </cacheField>
    <cacheField name="تفاصيل المنتج"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وان المعدن 2" numFmtId="0">
      <sharedItems containsBlank="1" count="13">
        <m/>
        <s v="ازرق"/>
        <s v=""/>
        <s v="رمادى"/>
        <s v="أبيض"/>
        <s v="أسود"/>
        <s v="دهبي"/>
        <s v="بنفسجى"/>
        <s v="أسود وبنى"/>
        <s v="ملون"/>
        <s v="بينك"/>
        <s v="نبيتى"/>
        <s v="الوان"/>
      </sharedItems>
    </cacheField>
    <cacheField name="الوان المعدن" numFmtId="0">
      <sharedItems containsBlank="1"/>
    </cacheField>
    <cacheField name="لون القماش" numFmtId="0">
      <sharedItems containsBlank="1"/>
    </cacheField>
    <cacheField name="المنتج" numFmtId="0">
      <sharedItems containsBlank="1"/>
    </cacheField>
    <cacheField name="سعر البيع " numFmtId="0">
      <sharedItems containsString="0" containsBlank="1" containsNumber="1" minValue="4020" maxValue="22000" count="75">
        <n v="10160"/>
        <n v="11455"/>
        <n v="8642"/>
        <n v="12833"/>
        <n v="14550"/>
        <n v="12000"/>
        <n v="7228"/>
        <n v="22000"/>
        <n v="16000"/>
        <n v="6000"/>
        <n v="10499"/>
        <n v="7295"/>
        <n v="7849"/>
        <n v="6180"/>
        <n v="11199"/>
        <n v="7987"/>
        <n v="9300"/>
        <n v="8849"/>
        <n v="10987"/>
        <n v="9208"/>
        <n v="4020"/>
        <n v="9399"/>
        <n v="8349"/>
        <n v="9450"/>
        <n v="7460"/>
        <n v="9528"/>
        <n v="12999"/>
        <n v="5999"/>
        <n v="11949"/>
        <n v="16599"/>
        <n v="10999"/>
        <n v="13099"/>
        <n v="13849"/>
        <n v="21999"/>
        <n v="17249"/>
        <n v="11817"/>
        <n v="17886"/>
        <n v="10319"/>
        <n v="12399"/>
        <n v="5074"/>
        <n v="6250"/>
        <n v="8943"/>
        <n v="14950"/>
        <n v="7433"/>
        <n v="8544.9054400000005"/>
        <n v="4600"/>
        <n v="10000"/>
        <m/>
        <n v="8899"/>
        <n v="12899"/>
        <n v="5135"/>
        <n v="12777.5"/>
        <n v="8544.91"/>
        <n v="15516"/>
        <n v="10045"/>
        <n v="11649"/>
        <n v="5200"/>
        <n v="5300"/>
        <n v="12099"/>
        <n v="15872"/>
        <n v="4520"/>
        <n v="5766"/>
        <n v="11395"/>
        <n v="12919"/>
        <n v="6376"/>
        <n v="5294"/>
        <n v="7396"/>
        <n v="13439"/>
        <n v="10885"/>
        <n v="8449"/>
        <n v="10249"/>
        <n v="14905"/>
        <n v="5217"/>
        <n v="10445"/>
        <n v="8700"/>
      </sharedItems>
    </cacheField>
    <cacheField name="طريقه الدفع " numFmtId="2">
      <sharedItems containsBlank="1" containsMixedTypes="1" containsNumber="1" minValue="1278.53" maxValue="22000"/>
    </cacheField>
    <cacheField name="ميعاد الطلب" numFmtId="0">
      <sharedItems containsDate="1" containsBlank="1" containsMixedTypes="1" minDate="2024-08-14T00:00:00" maxDate="2024-12-13T00:00:00"/>
    </cacheField>
    <cacheField name="ميعاد التسليم" numFmtId="0">
      <sharedItems containsDate="1" containsBlank="1" containsMixedTypes="1" minDate="2024-08-20T00:00:00" maxDate="2025-01-06T00:00:00"/>
    </cacheField>
    <cacheField name="تاريخ التسليم" numFmtId="0">
      <sharedItems containsDate="1" containsBlank="1" containsMixedTypes="1" minDate="2024-08-10T00:00:00" maxDate="2024-12-30T00:00:00"/>
    </cacheField>
    <cacheField name="المسئول عن التسليم" numFmtId="0">
      <sharedItems containsBlank="1"/>
    </cacheField>
    <cacheField name="الحاله 2" numFmtId="0">
      <sharedItems count="8">
        <s v="تم التسليم"/>
        <s v="فشل التسليم"/>
        <s v="لاغي"/>
        <s v="مرتجع"/>
        <s v="تم التصنيع"/>
        <s v=""/>
        <s v="مرفوض"/>
        <s v="لاغى" u="1"/>
      </sharedItems>
    </cacheField>
    <cacheField name="الحاله" numFmtId="0">
      <sharedItems containsBlank="1"/>
    </cacheField>
  </cacheFields>
  <extLst>
    <ext xmlns:x14="http://schemas.microsoft.com/office/spreadsheetml/2009/9/main" uri="{725AE2AE-9491-48be-B2B4-4EB974FC3084}">
      <x14:pivotCacheDefinition pivotCacheId="828708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x v="0"/>
    <x v="0"/>
    <s v="العجوزه - الجيزه"/>
    <x v="0"/>
    <s v="العجوزه - الجيزه"/>
    <x v="0"/>
    <x v="0"/>
    <s v="منطبق"/>
    <s v="غير معروف"/>
    <s v="غير معروف"/>
    <x v="0"/>
    <n v="10160"/>
    <s v="مسبق الدفع"/>
    <x v="0"/>
    <x v="0"/>
    <x v="0"/>
    <x v="0"/>
    <x v="0"/>
    <x v="0"/>
    <x v="0"/>
    <x v="0"/>
  </r>
  <r>
    <x v="1"/>
    <x v="0"/>
    <s v="سموحه - اسكندريه"/>
    <x v="1"/>
    <s v="سموحه - اسكندريه"/>
    <x v="0"/>
    <x v="0"/>
    <s v="منطبق"/>
    <s v="غير معروف"/>
    <s v="غير معروف"/>
    <x v="0"/>
    <n v="10160"/>
    <n v="9749"/>
    <x v="1"/>
    <x v="1"/>
    <x v="0"/>
    <x v="1"/>
    <x v="0"/>
    <x v="0"/>
    <x v="0"/>
    <x v="0"/>
  </r>
  <r>
    <x v="2"/>
    <x v="0"/>
    <s v="سيدى عبد الرحمن - الساحل الشمالى "/>
    <x v="2"/>
    <s v="سيدى عبد الرحمن - الساحل الشمالى "/>
    <x v="0"/>
    <x v="0"/>
    <s v="دوران"/>
    <s v="كيفنج"/>
    <n v="90"/>
    <x v="1"/>
    <n v="11455"/>
    <n v="10067.68"/>
    <x v="1"/>
    <x v="0"/>
    <x v="0"/>
    <x v="2"/>
    <x v="0"/>
    <x v="1"/>
    <x v="1"/>
    <x v="1"/>
  </r>
  <r>
    <x v="3"/>
    <x v="0"/>
    <s v="الغردقه "/>
    <x v="3"/>
    <s v="الغردقه "/>
    <x v="0"/>
    <x v="1"/>
    <s v="غير معروف"/>
    <s v="غير معروف"/>
    <s v="غير معروف"/>
    <x v="0"/>
    <n v="8642"/>
    <s v="مسبق الدفع"/>
    <x v="0"/>
    <x v="2"/>
    <x v="1"/>
    <x v="3"/>
    <x v="1"/>
    <x v="2"/>
    <x v="0"/>
    <x v="0"/>
  </r>
  <r>
    <x v="4"/>
    <x v="0"/>
    <s v="سيدى عبد الرحمن - الساحل الشمالى "/>
    <x v="2"/>
    <s v="سيدى عبد الرحمن - الساحل الشمالى "/>
    <x v="0"/>
    <x v="0"/>
    <s v="دوران"/>
    <s v="نوفال"/>
    <n v="100"/>
    <x v="2"/>
    <n v="12833"/>
    <n v="12974.22"/>
    <x v="1"/>
    <x v="3"/>
    <x v="2"/>
    <x v="2"/>
    <x v="2"/>
    <x v="1"/>
    <x v="1"/>
    <x v="1"/>
  </r>
  <r>
    <x v="5"/>
    <x v="1"/>
    <s v="القاهرة"/>
    <x v="4"/>
    <s v="القاهرة"/>
    <x v="1"/>
    <x v="2"/>
    <s v="4×1"/>
    <s v="غير معروف"/>
    <s v="غير معروف"/>
    <x v="0"/>
    <n v="14550"/>
    <s v="مسبق الدفع"/>
    <x v="0"/>
    <x v="4"/>
    <x v="3"/>
    <x v="4"/>
    <x v="3"/>
    <x v="3"/>
    <x v="0"/>
    <x v="0"/>
  </r>
  <r>
    <x v="6"/>
    <x v="0"/>
    <s v="التجمع الخامس"/>
    <x v="0"/>
    <s v="التجمع الخامس"/>
    <x v="2"/>
    <x v="2"/>
    <s v="4×1"/>
    <s v="غير معروف"/>
    <s v="غير معروف"/>
    <x v="0"/>
    <n v="12000"/>
    <n v="12000"/>
    <x v="1"/>
    <x v="5"/>
    <x v="4"/>
    <x v="5"/>
    <x v="4"/>
    <x v="2"/>
    <x v="0"/>
    <x v="0"/>
  </r>
  <r>
    <x v="7"/>
    <x v="0"/>
    <s v="٦ اكتوبر الجيزه  "/>
    <x v="4"/>
    <s v="٦ اكتوبر الجيزه  "/>
    <x v="0"/>
    <x v="0"/>
    <s v="فردى"/>
    <s v="غير معروف"/>
    <s v="غير معروف"/>
    <x v="0"/>
    <n v="7228"/>
    <s v="مسبق الدفع"/>
    <x v="0"/>
    <x v="2"/>
    <x v="3"/>
    <x v="6"/>
    <x v="5"/>
    <x v="4"/>
    <x v="0"/>
    <x v="0"/>
  </r>
  <r>
    <x v="8"/>
    <x v="1"/>
    <s v="العباسية"/>
    <x v="4"/>
    <s v="العباسية"/>
    <x v="3"/>
    <x v="3"/>
    <s v="ركنة بسرير"/>
    <s v="غير معروف"/>
    <s v="غير معروف"/>
    <x v="0"/>
    <n v="22000"/>
    <n v="22000"/>
    <x v="1"/>
    <x v="6"/>
    <x v="5"/>
    <x v="7"/>
    <x v="1"/>
    <x v="5"/>
    <x v="2"/>
    <x v="0"/>
  </r>
  <r>
    <x v="8"/>
    <x v="1"/>
    <s v="العباسية"/>
    <x v="4"/>
    <s v="العباسية"/>
    <x v="4"/>
    <x v="2"/>
    <s v="سحارة"/>
    <m/>
    <m/>
    <x v="3"/>
    <n v="16000"/>
    <n v="16000"/>
    <x v="1"/>
    <x v="7"/>
    <x v="0"/>
    <x v="2"/>
    <x v="0"/>
    <x v="1"/>
    <x v="3"/>
    <x v="2"/>
  </r>
  <r>
    <x v="8"/>
    <x v="1"/>
    <s v="العباسية "/>
    <x v="4"/>
    <s v="العباسية "/>
    <x v="3"/>
    <x v="2"/>
    <s v="سحارة"/>
    <s v="غير معروف"/>
    <s v="غير معروف"/>
    <x v="0"/>
    <n v="6000"/>
    <n v="12000"/>
    <x v="1"/>
    <x v="2"/>
    <x v="6"/>
    <x v="7"/>
    <x v="6"/>
    <x v="6"/>
    <x v="2"/>
    <x v="0"/>
  </r>
  <r>
    <x v="8"/>
    <x v="1"/>
    <s v="العباسية "/>
    <x v="4"/>
    <s v="العباسية "/>
    <x v="3"/>
    <x v="2"/>
    <s v="سحارة"/>
    <s v="غير معروف"/>
    <s v="غير معروف"/>
    <x v="0"/>
    <n v="6000"/>
    <n v="12000"/>
    <x v="1"/>
    <x v="2"/>
    <x v="6"/>
    <x v="7"/>
    <x v="6"/>
    <x v="6"/>
    <x v="2"/>
    <x v="0"/>
  </r>
  <r>
    <x v="9"/>
    <x v="0"/>
    <s v="مصر الجديده"/>
    <x v="0"/>
    <s v="مصر الجديده"/>
    <x v="0"/>
    <x v="0"/>
    <s v="دوران"/>
    <s v="نوفال"/>
    <n v="80"/>
    <x v="4"/>
    <n v="10499"/>
    <n v="8924"/>
    <x v="1"/>
    <x v="8"/>
    <x v="7"/>
    <x v="8"/>
    <x v="2"/>
    <x v="7"/>
    <x v="0"/>
    <x v="0"/>
  </r>
  <r>
    <x v="10"/>
    <x v="0"/>
    <s v="٦ اكتوبر الجيزه  "/>
    <x v="4"/>
    <s v="٦ اكتوبر الجيزه  "/>
    <x v="0"/>
    <x v="0"/>
    <s v="فردى"/>
    <s v="نوفال"/>
    <n v="80"/>
    <x v="4"/>
    <n v="7295"/>
    <n v="5895"/>
    <x v="1"/>
    <x v="9"/>
    <x v="8"/>
    <x v="2"/>
    <x v="5"/>
    <x v="1"/>
    <x v="0"/>
    <x v="2"/>
  </r>
  <r>
    <x v="11"/>
    <x v="0"/>
    <s v="المقطم "/>
    <x v="4"/>
    <s v="المقطم "/>
    <x v="0"/>
    <x v="1"/>
    <s v="2 ميكانزم"/>
    <m/>
    <m/>
    <x v="3"/>
    <n v="7849"/>
    <s v="مسبق الدفع"/>
    <x v="0"/>
    <x v="10"/>
    <x v="7"/>
    <x v="9"/>
    <x v="7"/>
    <x v="8"/>
    <x v="0"/>
    <x v="3"/>
  </r>
  <r>
    <x v="12"/>
    <x v="0"/>
    <s v="التجمع الخامس "/>
    <x v="4"/>
    <s v="التجمع الخامس "/>
    <x v="5"/>
    <x v="0"/>
    <s v="دوران"/>
    <s v="كيفنج"/>
    <n v="120"/>
    <x v="5"/>
    <n v="6180"/>
    <n v="9700"/>
    <x v="1"/>
    <x v="11"/>
    <x v="7"/>
    <x v="10"/>
    <x v="1"/>
    <x v="9"/>
    <x v="2"/>
    <x v="0"/>
  </r>
  <r>
    <x v="12"/>
    <x v="0"/>
    <s v="التجمع الخامس "/>
    <x v="4"/>
    <s v="التجمع الخامس "/>
    <x v="5"/>
    <x v="0"/>
    <s v="دوران"/>
    <s v="كيفنج"/>
    <n v="120"/>
    <x v="5"/>
    <n v="6180"/>
    <n v="9700"/>
    <x v="1"/>
    <x v="11"/>
    <x v="7"/>
    <x v="10"/>
    <x v="1"/>
    <x v="9"/>
    <x v="2"/>
    <x v="0"/>
  </r>
  <r>
    <x v="13"/>
    <x v="0"/>
    <s v="مدينه نصر "/>
    <x v="4"/>
    <s v="مدينه نصر "/>
    <x v="0"/>
    <x v="0"/>
    <s v="دوران"/>
    <s v="كينج"/>
    <n v="80"/>
    <x v="4"/>
    <n v="11199"/>
    <n v="11310"/>
    <x v="1"/>
    <x v="10"/>
    <x v="9"/>
    <x v="2"/>
    <x v="8"/>
    <x v="1"/>
    <x v="3"/>
    <x v="2"/>
  </r>
  <r>
    <x v="6"/>
    <x v="0"/>
    <s v="القاهره الجديده"/>
    <x v="4"/>
    <s v="القاهره الجديده"/>
    <x v="0"/>
    <x v="0"/>
    <s v="فردى"/>
    <s v="فورجينا"/>
    <n v="80"/>
    <x v="4"/>
    <n v="7987"/>
    <s v="مسبق الدفع"/>
    <x v="0"/>
    <x v="12"/>
    <x v="7"/>
    <x v="11"/>
    <x v="9"/>
    <x v="10"/>
    <x v="2"/>
    <x v="0"/>
  </r>
  <r>
    <x v="8"/>
    <x v="1"/>
    <s v="العباسية"/>
    <x v="4"/>
    <s v="العباسية"/>
    <x v="3"/>
    <x v="4"/>
    <s v="فنيسيا"/>
    <s v="غير معروف"/>
    <s v="غير معروف"/>
    <x v="0"/>
    <n v="9300"/>
    <n v="9300"/>
    <x v="1"/>
    <x v="10"/>
    <x v="6"/>
    <x v="7"/>
    <x v="10"/>
    <x v="11"/>
    <x v="2"/>
    <x v="0"/>
  </r>
  <r>
    <x v="6"/>
    <x v="0"/>
    <s v="القاهره الجديده"/>
    <x v="4"/>
    <s v="القاهره الجديده"/>
    <x v="0"/>
    <x v="0"/>
    <s v="فردى"/>
    <s v="فورجينا"/>
    <n v="80"/>
    <x v="4"/>
    <n v="7987"/>
    <s v="مسبق الدفع"/>
    <x v="0"/>
    <x v="12"/>
    <x v="7"/>
    <x v="11"/>
    <x v="9"/>
    <x v="10"/>
    <x v="2"/>
    <x v="0"/>
  </r>
  <r>
    <x v="6"/>
    <x v="0"/>
    <s v="القاهره الجديده"/>
    <x v="4"/>
    <s v="القاهره الجديده"/>
    <x v="0"/>
    <x v="0"/>
    <s v="فردى"/>
    <s v="فورجينا"/>
    <n v="80"/>
    <x v="4"/>
    <n v="7987"/>
    <s v="مسبق الدفع"/>
    <x v="0"/>
    <x v="12"/>
    <x v="7"/>
    <x v="11"/>
    <x v="9"/>
    <x v="10"/>
    <x v="2"/>
    <x v="0"/>
  </r>
  <r>
    <x v="6"/>
    <x v="0"/>
    <s v="القاهره الجديده"/>
    <x v="4"/>
    <s v="القاهره الجديده"/>
    <x v="0"/>
    <x v="0"/>
    <s v="فردى"/>
    <s v="فورجينا"/>
    <n v="80"/>
    <x v="4"/>
    <n v="7987"/>
    <s v="مسبق الدفع"/>
    <x v="0"/>
    <x v="12"/>
    <x v="7"/>
    <x v="11"/>
    <x v="9"/>
    <x v="10"/>
    <x v="2"/>
    <x v="0"/>
  </r>
  <r>
    <x v="14"/>
    <x v="0"/>
    <s v="المعادى"/>
    <x v="0"/>
    <s v="المعادى"/>
    <x v="0"/>
    <x v="1"/>
    <s v="2 ميكانزم"/>
    <m/>
    <m/>
    <x v="3"/>
    <n v="8849"/>
    <s v="مسبق الدفع"/>
    <x v="0"/>
    <x v="11"/>
    <x v="10"/>
    <x v="2"/>
    <x v="11"/>
    <x v="1"/>
    <x v="3"/>
    <x v="2"/>
  </r>
  <r>
    <x v="15"/>
    <x v="0"/>
    <s v="٦ اكتوبر الجيزه  "/>
    <x v="4"/>
    <s v="٦ اكتوبر الجيزه  "/>
    <x v="0"/>
    <x v="0"/>
    <s v="فردى"/>
    <s v="اسبانى"/>
    <n v="120"/>
    <x v="4"/>
    <n v="10987"/>
    <s v="مسبق الدفع"/>
    <x v="0"/>
    <x v="13"/>
    <x v="11"/>
    <x v="11"/>
    <x v="12"/>
    <x v="9"/>
    <x v="2"/>
    <x v="0"/>
  </r>
  <r>
    <x v="5"/>
    <x v="1"/>
    <s v="القاهرة"/>
    <x v="4"/>
    <s v="القاهرة"/>
    <x v="1"/>
    <x v="0"/>
    <s v="دوران"/>
    <s v="كينج"/>
    <n v="100"/>
    <x v="4"/>
    <n v="9208"/>
    <n v="5781.75"/>
    <x v="1"/>
    <x v="8"/>
    <x v="12"/>
    <x v="11"/>
    <x v="13"/>
    <x v="12"/>
    <x v="2"/>
    <x v="0"/>
  </r>
  <r>
    <x v="5"/>
    <x v="1"/>
    <s v="القاهرة"/>
    <x v="4"/>
    <s v="القاهرة"/>
    <x v="6"/>
    <x v="0"/>
    <s v="دوران"/>
    <s v="كينج"/>
    <n v="100"/>
    <x v="5"/>
    <n v="9208"/>
    <n v="1278.53"/>
    <x v="1"/>
    <x v="8"/>
    <x v="12"/>
    <x v="11"/>
    <x v="13"/>
    <x v="12"/>
    <x v="2"/>
    <x v="0"/>
  </r>
  <r>
    <x v="16"/>
    <x v="1"/>
    <s v="مخزن اوسكار في القناطر "/>
    <x v="5"/>
    <s v="مخزن اوسكار في القناطر "/>
    <x v="5"/>
    <x v="0"/>
    <s v="فردى"/>
    <s v="فورجينا"/>
    <n v="120"/>
    <x v="4"/>
    <n v="4020"/>
    <s v="حساب شركه"/>
    <x v="2"/>
    <x v="14"/>
    <x v="13"/>
    <x v="12"/>
    <x v="5"/>
    <x v="13"/>
    <x v="2"/>
    <x v="0"/>
  </r>
  <r>
    <x v="16"/>
    <x v="1"/>
    <s v="مخزن اوسكار في القناطر "/>
    <x v="5"/>
    <s v="مخزن اوسكار في القناطر "/>
    <x v="5"/>
    <x v="0"/>
    <s v="فردى"/>
    <s v="فورجينا"/>
    <n v="120"/>
    <x v="4"/>
    <n v="4020"/>
    <s v="حساب شركه"/>
    <x v="2"/>
    <x v="14"/>
    <x v="13"/>
    <x v="12"/>
    <x v="5"/>
    <x v="13"/>
    <x v="2"/>
    <x v="0"/>
  </r>
  <r>
    <x v="16"/>
    <x v="1"/>
    <s v="مخزن اوسكار في القناطر "/>
    <x v="5"/>
    <s v="مخزن اوسكار في القناطر "/>
    <x v="5"/>
    <x v="0"/>
    <s v="فردى"/>
    <s v="ارفيل"/>
    <n v="120"/>
    <x v="5"/>
    <n v="4020"/>
    <s v="مسبق الدفع"/>
    <x v="0"/>
    <x v="14"/>
    <x v="13"/>
    <x v="12"/>
    <x v="5"/>
    <x v="13"/>
    <x v="2"/>
    <x v="0"/>
  </r>
  <r>
    <x v="16"/>
    <x v="1"/>
    <s v="مخزن اوسكار في القناطر "/>
    <x v="5"/>
    <s v="مخزن اوسكار في القناطر "/>
    <x v="5"/>
    <x v="0"/>
    <s v="فردى"/>
    <s v="ارفيل"/>
    <n v="120"/>
    <x v="5"/>
    <n v="4020"/>
    <s v="مسبق الدفع"/>
    <x v="0"/>
    <x v="14"/>
    <x v="13"/>
    <x v="12"/>
    <x v="5"/>
    <x v="13"/>
    <x v="2"/>
    <x v="0"/>
  </r>
  <r>
    <x v="17"/>
    <x v="0"/>
    <s v="العين السخنه"/>
    <x v="6"/>
    <s v="العين السخنه"/>
    <x v="0"/>
    <x v="0"/>
    <s v="منطبق"/>
    <m/>
    <m/>
    <x v="5"/>
    <n v="9399"/>
    <s v="مسبق الدفع"/>
    <x v="0"/>
    <x v="15"/>
    <x v="14"/>
    <x v="2"/>
    <x v="12"/>
    <x v="1"/>
    <x v="1"/>
    <x v="1"/>
  </r>
  <r>
    <x v="18"/>
    <x v="0"/>
    <s v="الابراهيميه . الإسكندرية "/>
    <x v="0"/>
    <s v="الابراهيميه . الإسكندرية "/>
    <x v="0"/>
    <x v="1"/>
    <s v="رف سحاب"/>
    <s v="غير معروف"/>
    <s v="غير معروف"/>
    <x v="0"/>
    <n v="8349"/>
    <s v="مسبق الدفع"/>
    <x v="0"/>
    <x v="15"/>
    <x v="14"/>
    <x v="13"/>
    <x v="12"/>
    <x v="13"/>
    <x v="0"/>
    <x v="0"/>
  </r>
  <r>
    <x v="19"/>
    <x v="0"/>
    <s v="٦ اكتوبر الجيزه  "/>
    <x v="4"/>
    <s v="٦ اكتوبر الجيزه  "/>
    <x v="0"/>
    <x v="0"/>
    <s v="منطبق"/>
    <s v="غير معروف"/>
    <s v="غير معروف"/>
    <x v="5"/>
    <n v="9399"/>
    <s v="مسبق الدفع"/>
    <x v="0"/>
    <x v="16"/>
    <x v="15"/>
    <x v="14"/>
    <x v="10"/>
    <x v="14"/>
    <x v="0"/>
    <x v="0"/>
  </r>
  <r>
    <x v="20"/>
    <x v="0"/>
    <s v="القطاميه "/>
    <x v="4"/>
    <s v="القطاميه "/>
    <x v="0"/>
    <x v="1"/>
    <s v="2 ميكانزم"/>
    <s v="غير معروف"/>
    <s v="غير معروف"/>
    <x v="0"/>
    <n v="7849"/>
    <n v="7928"/>
    <x v="1"/>
    <x v="14"/>
    <x v="16"/>
    <x v="2"/>
    <x v="8"/>
    <x v="1"/>
    <x v="0"/>
    <x v="0"/>
  </r>
  <r>
    <x v="21"/>
    <x v="0"/>
    <s v="١٨ شارع البحيري بولاق الدكرور الجيزه "/>
    <x v="0"/>
    <s v="١٨ شارع البحيري بولاق الدكرور الجيزه "/>
    <x v="2"/>
    <x v="0"/>
    <s v="ثلاثه ادوار"/>
    <s v="كيفنج"/>
    <n v="100"/>
    <x v="5"/>
    <n v="9450"/>
    <n v="9450"/>
    <x v="1"/>
    <x v="14"/>
    <x v="16"/>
    <x v="2"/>
    <x v="8"/>
    <x v="1"/>
    <x v="3"/>
    <x v="2"/>
  </r>
  <r>
    <x v="22"/>
    <x v="0"/>
    <s v="القاهره الجديده"/>
    <x v="4"/>
    <s v="القاهره الجديده"/>
    <x v="0"/>
    <x v="0"/>
    <s v="فردى"/>
    <s v="اسبانى"/>
    <n v="120"/>
    <x v="5"/>
    <n v="7460"/>
    <s v="مسبق الدفع"/>
    <x v="0"/>
    <x v="16"/>
    <x v="16"/>
    <x v="15"/>
    <x v="1"/>
    <x v="12"/>
    <x v="2"/>
    <x v="0"/>
  </r>
  <r>
    <x v="23"/>
    <x v="0"/>
    <s v="القاهره الجديده"/>
    <x v="4"/>
    <s v="القاهره الجديده"/>
    <x v="0"/>
    <x v="0"/>
    <s v="فردى"/>
    <s v="كورين"/>
    <n v="140"/>
    <x v="6"/>
    <n v="9528"/>
    <s v="مسبق الدفع"/>
    <x v="0"/>
    <x v="16"/>
    <x v="16"/>
    <x v="15"/>
    <x v="1"/>
    <x v="12"/>
    <x v="2"/>
    <x v="0"/>
  </r>
  <r>
    <x v="24"/>
    <x v="0"/>
    <s v="٦ اكتوبر الجيزه  "/>
    <x v="4"/>
    <s v="٦ اكتوبر الجيزه  "/>
    <x v="0"/>
    <x v="0"/>
    <s v="دوران"/>
    <s v="كيفنج"/>
    <n v="120"/>
    <x v="2"/>
    <n v="12999"/>
    <s v="مسبق الدفع"/>
    <x v="0"/>
    <x v="15"/>
    <x v="17"/>
    <x v="16"/>
    <x v="1"/>
    <x v="15"/>
    <x v="2"/>
    <x v="0"/>
  </r>
  <r>
    <x v="25"/>
    <x v="0"/>
    <s v="الشروق "/>
    <x v="4"/>
    <s v="الشروق "/>
    <x v="0"/>
    <x v="0"/>
    <s v="دوران"/>
    <s v="نوفال"/>
    <n v="90"/>
    <x v="5"/>
    <n v="5999"/>
    <s v="مسبق الدفع"/>
    <x v="0"/>
    <x v="14"/>
    <x v="18"/>
    <x v="2"/>
    <x v="14"/>
    <x v="1"/>
    <x v="3"/>
    <x v="2"/>
  </r>
  <r>
    <x v="26"/>
    <x v="0"/>
    <s v="حدايق الاهرام "/>
    <x v="3"/>
    <s v="حدايق الاهرام "/>
    <x v="0"/>
    <x v="0"/>
    <s v="دوران"/>
    <s v="كيفنج"/>
    <n v="100"/>
    <x v="5"/>
    <n v="11949"/>
    <n v="10749"/>
    <x v="1"/>
    <x v="14"/>
    <x v="18"/>
    <x v="16"/>
    <x v="14"/>
    <x v="12"/>
    <x v="2"/>
    <x v="0"/>
  </r>
  <r>
    <x v="26"/>
    <x v="0"/>
    <s v="حدايق الاهرام "/>
    <x v="3"/>
    <s v="حدايق الاهرام "/>
    <x v="0"/>
    <x v="0"/>
    <s v="دوران"/>
    <s v="كيفنج"/>
    <n v="100"/>
    <x v="5"/>
    <n v="11949"/>
    <n v="10749"/>
    <x v="1"/>
    <x v="14"/>
    <x v="18"/>
    <x v="16"/>
    <x v="14"/>
    <x v="12"/>
    <x v="2"/>
    <x v="0"/>
  </r>
  <r>
    <x v="6"/>
    <x v="0"/>
    <s v="الشروق "/>
    <x v="4"/>
    <s v="الشروق "/>
    <x v="0"/>
    <x v="0"/>
    <s v="ثلاثه ادوار"/>
    <s v="كيفنج"/>
    <n v="80"/>
    <x v="4"/>
    <n v="16599"/>
    <s v="مسبق الدفع"/>
    <x v="0"/>
    <x v="16"/>
    <x v="19"/>
    <x v="15"/>
    <x v="14"/>
    <x v="12"/>
    <x v="2"/>
    <x v="0"/>
  </r>
  <r>
    <x v="27"/>
    <x v="0"/>
    <s v="الغردقه "/>
    <x v="3"/>
    <s v="الغردقه "/>
    <x v="0"/>
    <x v="0"/>
    <s v="دوران"/>
    <s v="كيفنج"/>
    <n v="80"/>
    <x v="4"/>
    <n v="10999"/>
    <s v="مسبق الدفع"/>
    <x v="0"/>
    <x v="16"/>
    <x v="19"/>
    <x v="17"/>
    <x v="14"/>
    <x v="16"/>
    <x v="0"/>
    <x v="0"/>
  </r>
  <r>
    <x v="28"/>
    <x v="0"/>
    <s v="لافيستا العين السخنه "/>
    <x v="0"/>
    <s v="لافيستا العين السخنه "/>
    <x v="0"/>
    <x v="0"/>
    <s v="دوران"/>
    <s v="كيفنج"/>
    <n v="140"/>
    <x v="1"/>
    <n v="13099"/>
    <s v="مسبق الدفع"/>
    <x v="0"/>
    <x v="16"/>
    <x v="19"/>
    <x v="15"/>
    <x v="14"/>
    <x v="12"/>
    <x v="0"/>
    <x v="0"/>
  </r>
  <r>
    <x v="29"/>
    <x v="0"/>
    <s v="٦ اكتوبر الجيزه  "/>
    <x v="4"/>
    <s v="٦ اكتوبر الجيزه  "/>
    <x v="0"/>
    <x v="0"/>
    <s v="دوران"/>
    <s v="كينج"/>
    <n v="120"/>
    <x v="7"/>
    <n v="13849"/>
    <s v="مسبق الدفع"/>
    <x v="0"/>
    <x v="16"/>
    <x v="19"/>
    <x v="18"/>
    <x v="14"/>
    <x v="17"/>
    <x v="2"/>
    <x v="0"/>
  </r>
  <r>
    <x v="30"/>
    <x v="0"/>
    <s v="القاهره الجديده "/>
    <x v="0"/>
    <s v="القاهره الجديده "/>
    <x v="0"/>
    <x v="2"/>
    <s v="4×1"/>
    <s v="غير معروف"/>
    <s v="غير معروف"/>
    <x v="5"/>
    <n v="21999"/>
    <s v="مسبق الدفع"/>
    <x v="0"/>
    <x v="16"/>
    <x v="19"/>
    <x v="2"/>
    <x v="14"/>
    <x v="1"/>
    <x v="2"/>
    <x v="0"/>
  </r>
  <r>
    <x v="31"/>
    <x v="0"/>
    <s v="٦ اكتوبر الجيزه  "/>
    <x v="4"/>
    <s v="٦ اكتوبر الجيزه  "/>
    <x v="0"/>
    <x v="0"/>
    <s v="دوران"/>
    <s v="كيفنج"/>
    <n v="80"/>
    <x v="4"/>
    <n v="10999"/>
    <s v="مسبق الدفع"/>
    <x v="0"/>
    <x v="16"/>
    <x v="19"/>
    <x v="19"/>
    <x v="14"/>
    <x v="18"/>
    <x v="2"/>
    <x v="0"/>
  </r>
  <r>
    <x v="32"/>
    <x v="0"/>
    <s v="المعادى"/>
    <x v="0"/>
    <s v="المعادى"/>
    <x v="0"/>
    <x v="0"/>
    <s v="ثلاثه ادوار"/>
    <s v="كيفنج"/>
    <n v="90"/>
    <x v="5"/>
    <n v="17249"/>
    <s v="مسبق الدفع"/>
    <x v="0"/>
    <x v="16"/>
    <x v="19"/>
    <x v="20"/>
    <x v="14"/>
    <x v="8"/>
    <x v="2"/>
    <x v="0"/>
  </r>
  <r>
    <x v="33"/>
    <x v="0"/>
    <s v="فيصل الجيزه"/>
    <x v="0"/>
    <s v="فيصل الجيزه"/>
    <x v="0"/>
    <x v="1"/>
    <s v="2 ميكانزم"/>
    <s v="غير معروف"/>
    <s v="غير معروف"/>
    <x v="0"/>
    <n v="8349"/>
    <s v="مسبق الدفع"/>
    <x v="0"/>
    <x v="15"/>
    <x v="10"/>
    <x v="21"/>
    <x v="15"/>
    <x v="17"/>
    <x v="2"/>
    <x v="0"/>
  </r>
  <r>
    <x v="34"/>
    <x v="0"/>
    <s v="المقطم "/>
    <x v="4"/>
    <s v="المقطم "/>
    <x v="0"/>
    <x v="1"/>
    <s v="بمكتبة"/>
    <s v="غير معروف"/>
    <s v="غير معروف"/>
    <x v="0"/>
    <n v="7849"/>
    <s v="مسبق الدفع"/>
    <x v="0"/>
    <x v="15"/>
    <x v="20"/>
    <x v="22"/>
    <x v="16"/>
    <x v="19"/>
    <x v="2"/>
    <x v="0"/>
  </r>
  <r>
    <x v="35"/>
    <x v="0"/>
    <s v="٦ اكتوبر الجيزه  "/>
    <x v="4"/>
    <s v="٦ اكتوبر الجيزه  "/>
    <x v="0"/>
    <x v="0"/>
    <s v="منطبق"/>
    <s v="غير معروف"/>
    <s v="غير معروف"/>
    <x v="5"/>
    <n v="9399"/>
    <s v="مسبق الدفع"/>
    <x v="0"/>
    <x v="15"/>
    <x v="20"/>
    <x v="19"/>
    <x v="16"/>
    <x v="20"/>
    <x v="2"/>
    <x v="0"/>
  </r>
  <r>
    <x v="36"/>
    <x v="0"/>
    <s v="الشيخ زايد ٦ اكتوبر "/>
    <x v="4"/>
    <s v="الشيخ زايد ٦ اكتوبر "/>
    <x v="0"/>
    <x v="0"/>
    <s v="فردى"/>
    <s v="اسبانى"/>
    <n v="140"/>
    <x v="5"/>
    <n v="11817"/>
    <s v="مسبق الدفع"/>
    <x v="0"/>
    <x v="15"/>
    <x v="20"/>
    <x v="19"/>
    <x v="16"/>
    <x v="20"/>
    <x v="2"/>
    <x v="0"/>
  </r>
  <r>
    <x v="37"/>
    <x v="0"/>
    <s v="الشروق "/>
    <x v="4"/>
    <s v="الشروق "/>
    <x v="0"/>
    <x v="1"/>
    <s v="رف سحاب"/>
    <s v="غير معروف"/>
    <s v="غير معروف"/>
    <x v="0"/>
    <n v="8349"/>
    <s v="مسبق الدفع"/>
    <x v="0"/>
    <x v="15"/>
    <x v="20"/>
    <x v="23"/>
    <x v="16"/>
    <x v="21"/>
    <x v="2"/>
    <x v="0"/>
  </r>
  <r>
    <x v="38"/>
    <x v="0"/>
    <s v="الرحاب"/>
    <x v="4"/>
    <s v="الرحاب"/>
    <x v="0"/>
    <x v="0"/>
    <s v="فردى"/>
    <s v="فورجينا"/>
    <n v="120"/>
    <x v="4"/>
    <n v="17886"/>
    <s v="مسبق الدفع"/>
    <x v="0"/>
    <x v="15"/>
    <x v="20"/>
    <x v="2"/>
    <x v="16"/>
    <x v="1"/>
    <x v="3"/>
    <x v="2"/>
  </r>
  <r>
    <x v="38"/>
    <x v="0"/>
    <s v="الرحاب"/>
    <x v="4"/>
    <s v="الرحاب"/>
    <x v="0"/>
    <x v="0"/>
    <s v="فردى"/>
    <s v="فورجينا"/>
    <n v="120"/>
    <x v="4"/>
    <n v="17886"/>
    <s v="مسبق الدفع"/>
    <x v="0"/>
    <x v="15"/>
    <x v="20"/>
    <x v="2"/>
    <x v="16"/>
    <x v="1"/>
    <x v="3"/>
    <x v="2"/>
  </r>
  <r>
    <x v="39"/>
    <x v="0"/>
    <s v="القاهره الجديده"/>
    <x v="4"/>
    <s v="القاهره الجديده"/>
    <x v="0"/>
    <x v="0"/>
    <s v="فردى"/>
    <s v="اسبانى"/>
    <n v="120"/>
    <x v="4"/>
    <n v="10987"/>
    <s v="مسبق الدفع"/>
    <x v="0"/>
    <x v="15"/>
    <x v="20"/>
    <x v="24"/>
    <x v="16"/>
    <x v="5"/>
    <x v="2"/>
    <x v="0"/>
  </r>
  <r>
    <x v="39"/>
    <x v="0"/>
    <s v="القاهره الجديده"/>
    <x v="4"/>
    <s v="القاهره الجديده"/>
    <x v="0"/>
    <x v="0"/>
    <s v="فردى"/>
    <s v="اسبانى"/>
    <n v="120"/>
    <x v="4"/>
    <n v="10987"/>
    <s v="مسبق الدفع"/>
    <x v="0"/>
    <x v="15"/>
    <x v="20"/>
    <x v="24"/>
    <x v="16"/>
    <x v="5"/>
    <x v="2"/>
    <x v="0"/>
  </r>
  <r>
    <x v="40"/>
    <x v="0"/>
    <s v="العبور"/>
    <x v="4"/>
    <s v="العبور"/>
    <x v="0"/>
    <x v="1"/>
    <s v="2 ميكانزم"/>
    <s v="غير معروف"/>
    <s v="غير معروف"/>
    <x v="0"/>
    <n v="10319"/>
    <s v="مسبق الدفع"/>
    <x v="0"/>
    <x v="15"/>
    <x v="20"/>
    <x v="23"/>
    <x v="16"/>
    <x v="21"/>
    <x v="2"/>
    <x v="0"/>
  </r>
  <r>
    <x v="41"/>
    <x v="0"/>
    <s v="اسيوط "/>
    <x v="4"/>
    <s v="اسيوط "/>
    <x v="0"/>
    <x v="0"/>
    <s v="دوران"/>
    <s v="كيفنج"/>
    <n v="120"/>
    <x v="2"/>
    <n v="12999"/>
    <s v="مسبق الدفع"/>
    <x v="0"/>
    <x v="15"/>
    <x v="21"/>
    <x v="25"/>
    <x v="17"/>
    <x v="16"/>
    <x v="0"/>
    <x v="0"/>
  </r>
  <r>
    <x v="42"/>
    <x v="0"/>
    <s v="الغردقه"/>
    <x v="3"/>
    <s v="الغردقه"/>
    <x v="0"/>
    <x v="2"/>
    <s v="4×1"/>
    <m/>
    <m/>
    <x v="5"/>
    <n v="21999"/>
    <s v="مسبق الدفع"/>
    <x v="0"/>
    <x v="15"/>
    <x v="21"/>
    <x v="2"/>
    <x v="17"/>
    <x v="1"/>
    <x v="3"/>
    <x v="2"/>
  </r>
  <r>
    <x v="43"/>
    <x v="0"/>
    <s v="الشروق "/>
    <x v="4"/>
    <s v="الشروق "/>
    <x v="0"/>
    <x v="0"/>
    <s v="دوران"/>
    <s v="نوفال"/>
    <n v="100"/>
    <x v="2"/>
    <n v="12399"/>
    <s v="مسبق الدفع"/>
    <x v="0"/>
    <x v="15"/>
    <x v="21"/>
    <x v="26"/>
    <x v="17"/>
    <x v="14"/>
    <x v="0"/>
    <x v="0"/>
  </r>
  <r>
    <x v="44"/>
    <x v="0"/>
    <s v="القاهره الجديده"/>
    <x v="4"/>
    <s v="القاهره الجديده"/>
    <x v="0"/>
    <x v="2"/>
    <s v="4×1"/>
    <s v="غير معروف"/>
    <s v="غير معروف"/>
    <x v="5"/>
    <n v="21999"/>
    <s v="مسبق الدفع"/>
    <x v="0"/>
    <x v="15"/>
    <x v="21"/>
    <x v="27"/>
    <x v="17"/>
    <x v="22"/>
    <x v="2"/>
    <x v="0"/>
  </r>
  <r>
    <x v="45"/>
    <x v="0"/>
    <s v="المقطم "/>
    <x v="4"/>
    <s v="المقطم "/>
    <x v="0"/>
    <x v="0"/>
    <s v="دوران"/>
    <s v="نوفال"/>
    <n v="80"/>
    <x v="4"/>
    <n v="10999"/>
    <s v="مسبق الدفع"/>
    <x v="0"/>
    <x v="15"/>
    <x v="21"/>
    <x v="17"/>
    <x v="17"/>
    <x v="18"/>
    <x v="2"/>
    <x v="0"/>
  </r>
  <r>
    <x v="46"/>
    <x v="0"/>
    <s v="المعادى"/>
    <x v="0"/>
    <s v="المعادى"/>
    <x v="0"/>
    <x v="0"/>
    <s v="دوران"/>
    <s v="كيفنج"/>
    <n v="80"/>
    <x v="4"/>
    <n v="10999"/>
    <s v="مسبق الدفع"/>
    <x v="0"/>
    <x v="17"/>
    <x v="21"/>
    <x v="17"/>
    <x v="18"/>
    <x v="20"/>
    <x v="2"/>
    <x v="0"/>
  </r>
  <r>
    <x v="46"/>
    <x v="0"/>
    <s v="المعادى"/>
    <x v="0"/>
    <s v="المعادى"/>
    <x v="0"/>
    <x v="0"/>
    <s v="دوران"/>
    <s v="كيفنج"/>
    <n v="80"/>
    <x v="4"/>
    <n v="10999"/>
    <s v="مسبق الدفع"/>
    <x v="0"/>
    <x v="17"/>
    <x v="21"/>
    <x v="17"/>
    <x v="18"/>
    <x v="20"/>
    <x v="2"/>
    <x v="0"/>
  </r>
  <r>
    <x v="47"/>
    <x v="0"/>
    <s v="Madinet Badr"/>
    <x v="4"/>
    <s v="Madinet Badr"/>
    <x v="0"/>
    <x v="2"/>
    <s v="4×1"/>
    <s v="غير معروف"/>
    <s v="غير معروف"/>
    <x v="5"/>
    <n v="21999"/>
    <s v="مسبق الدفع"/>
    <x v="0"/>
    <x v="17"/>
    <x v="21"/>
    <x v="23"/>
    <x v="18"/>
    <x v="23"/>
    <x v="2"/>
    <x v="0"/>
  </r>
  <r>
    <x v="48"/>
    <x v="0"/>
    <s v="العين السخنه"/>
    <x v="6"/>
    <s v="العين السخنه"/>
    <x v="0"/>
    <x v="1"/>
    <s v="2 ميكانزم"/>
    <s v="غير معروف"/>
    <s v="غير معروف"/>
    <x v="0"/>
    <n v="7849"/>
    <n v="6306"/>
    <x v="1"/>
    <x v="18"/>
    <x v="22"/>
    <x v="28"/>
    <x v="19"/>
    <x v="24"/>
    <x v="0"/>
    <x v="0"/>
  </r>
  <r>
    <x v="16"/>
    <x v="1"/>
    <s v="المخزن ابو الغيط "/>
    <x v="4"/>
    <s v="المخزن ابو الغيط "/>
    <x v="5"/>
    <x v="0"/>
    <s v="دوران"/>
    <s v="كيفنج"/>
    <n v="80"/>
    <x v="4"/>
    <n v="5074"/>
    <s v="حساب شركه"/>
    <x v="2"/>
    <x v="19"/>
    <x v="23"/>
    <x v="29"/>
    <x v="8"/>
    <x v="8"/>
    <x v="2"/>
    <x v="0"/>
  </r>
  <r>
    <x v="8"/>
    <x v="1"/>
    <s v="العباسية"/>
    <x v="4"/>
    <s v="العباسية"/>
    <x v="3"/>
    <x v="0"/>
    <s v="دوران"/>
    <s v="كينج"/>
    <n v="100"/>
    <x v="8"/>
    <n v="6250"/>
    <s v="حساب شركه"/>
    <x v="2"/>
    <x v="20"/>
    <x v="24"/>
    <x v="25"/>
    <x v="2"/>
    <x v="25"/>
    <x v="2"/>
    <x v="0"/>
  </r>
  <r>
    <x v="8"/>
    <x v="1"/>
    <s v="العباسية"/>
    <x v="4"/>
    <s v="العباسية"/>
    <x v="3"/>
    <x v="0"/>
    <s v="دوران"/>
    <s v="كينج"/>
    <n v="100"/>
    <x v="8"/>
    <n v="6250"/>
    <s v="حساب شركه"/>
    <x v="2"/>
    <x v="20"/>
    <x v="24"/>
    <x v="25"/>
    <x v="2"/>
    <x v="25"/>
    <x v="2"/>
    <x v="0"/>
  </r>
  <r>
    <x v="49"/>
    <x v="0"/>
    <s v="العباسية"/>
    <x v="4"/>
    <s v="العباسية"/>
    <x v="0"/>
    <x v="0"/>
    <s v="فردى"/>
    <s v="فورجينا"/>
    <n v="120"/>
    <x v="4"/>
    <n v="8943"/>
    <n v="9033"/>
    <x v="1"/>
    <x v="21"/>
    <x v="25"/>
    <x v="30"/>
    <x v="16"/>
    <x v="0"/>
    <x v="2"/>
    <x v="0"/>
  </r>
  <r>
    <x v="50"/>
    <x v="0"/>
    <s v="٦ اكتوبر الجيزه  "/>
    <x v="4"/>
    <s v="٦ اكتوبر الجيزه  "/>
    <x v="0"/>
    <x v="1"/>
    <s v="رف سحاب"/>
    <m/>
    <m/>
    <x v="3"/>
    <n v="8349"/>
    <n v="8433"/>
    <x v="1"/>
    <x v="21"/>
    <x v="25"/>
    <x v="2"/>
    <x v="16"/>
    <x v="1"/>
    <x v="3"/>
    <x v="2"/>
  </r>
  <r>
    <x v="5"/>
    <x v="1"/>
    <s v="التجمع الخامس "/>
    <x v="4"/>
    <s v="التجمع الخامس "/>
    <x v="6"/>
    <x v="2"/>
    <s v="4×1"/>
    <s v="غير معروف"/>
    <s v="غير معروف"/>
    <x v="0"/>
    <n v="14950"/>
    <s v="مسبق الدفع"/>
    <x v="0"/>
    <x v="21"/>
    <x v="26"/>
    <x v="24"/>
    <x v="13"/>
    <x v="14"/>
    <x v="2"/>
    <x v="0"/>
  </r>
  <r>
    <x v="5"/>
    <x v="1"/>
    <s v="القاهرة"/>
    <x v="4"/>
    <s v="القاهرة"/>
    <x v="6"/>
    <x v="0"/>
    <s v="دوران"/>
    <s v="كينج"/>
    <n v="100"/>
    <x v="9"/>
    <n v="9208"/>
    <n v="9608"/>
    <x v="1"/>
    <x v="21"/>
    <x v="26"/>
    <x v="2"/>
    <x v="13"/>
    <x v="1"/>
    <x v="3"/>
    <x v="2"/>
  </r>
  <r>
    <x v="5"/>
    <x v="1"/>
    <s v="القاهرة"/>
    <x v="4"/>
    <s v="القاهرة"/>
    <x v="6"/>
    <x v="0"/>
    <s v="فردى"/>
    <s v="اسبانى"/>
    <n v="120"/>
    <x v="4"/>
    <n v="7433"/>
    <s v="مسبق الدفع"/>
    <x v="0"/>
    <x v="22"/>
    <x v="27"/>
    <x v="21"/>
    <x v="6"/>
    <x v="3"/>
    <x v="2"/>
    <x v="0"/>
  </r>
  <r>
    <x v="16"/>
    <x v="1"/>
    <s v="المخزن ابو الغيط "/>
    <x v="4"/>
    <s v="المخزن ابو الغيط "/>
    <x v="5"/>
    <x v="0"/>
    <s v="فردى"/>
    <s v="فورجينا"/>
    <n v="120"/>
    <x v="4"/>
    <n v="4020"/>
    <s v="حساب شركه"/>
    <x v="2"/>
    <x v="22"/>
    <x v="28"/>
    <x v="29"/>
    <x v="1"/>
    <x v="11"/>
    <x v="2"/>
    <x v="0"/>
  </r>
  <r>
    <x v="51"/>
    <x v="0"/>
    <s v="السويس "/>
    <x v="7"/>
    <s v="السويس "/>
    <x v="7"/>
    <x v="0"/>
    <s v="دوران"/>
    <s v="فانتاستك"/>
    <n v="100"/>
    <x v="10"/>
    <n v="8544.9054400000005"/>
    <s v="غير معروف"/>
    <x v="3"/>
    <x v="23"/>
    <x v="29"/>
    <x v="27"/>
    <x v="12"/>
    <x v="26"/>
    <x v="4"/>
    <x v="0"/>
  </r>
  <r>
    <x v="51"/>
    <x v="0"/>
    <s v="السويس "/>
    <x v="7"/>
    <s v="السويس "/>
    <x v="7"/>
    <x v="0"/>
    <s v="منطبق"/>
    <s v="غير معروف"/>
    <s v="غير معروف"/>
    <x v="5"/>
    <n v="4600"/>
    <s v="غير معروف"/>
    <x v="3"/>
    <x v="23"/>
    <x v="29"/>
    <x v="27"/>
    <x v="12"/>
    <x v="26"/>
    <x v="4"/>
    <x v="0"/>
  </r>
  <r>
    <x v="51"/>
    <x v="0"/>
    <s v="السويس "/>
    <x v="7"/>
    <s v="السويس "/>
    <x v="7"/>
    <x v="2"/>
    <s v="فنيسيا"/>
    <s v="غير معروف"/>
    <s v="غير معروف"/>
    <x v="5"/>
    <n v="10000"/>
    <s v="غير معروف"/>
    <x v="3"/>
    <x v="23"/>
    <x v="29"/>
    <x v="27"/>
    <x v="12"/>
    <x v="26"/>
    <x v="4"/>
    <x v="0"/>
  </r>
  <r>
    <x v="51"/>
    <x v="0"/>
    <s v="السويس "/>
    <x v="7"/>
    <s v="السويس "/>
    <x v="7"/>
    <x v="5"/>
    <s v="غير معروف"/>
    <s v="غير معروف"/>
    <s v="غير معروف"/>
    <x v="5"/>
    <s v="غير معروف"/>
    <s v="غير معروف"/>
    <x v="3"/>
    <x v="23"/>
    <x v="29"/>
    <x v="27"/>
    <x v="12"/>
    <x v="26"/>
    <x v="4"/>
    <x v="0"/>
  </r>
  <r>
    <x v="52"/>
    <x v="0"/>
    <s v="الزمالك"/>
    <x v="4"/>
    <s v="الزمالك"/>
    <x v="0"/>
    <x v="0"/>
    <s v="منطبق"/>
    <m/>
    <m/>
    <x v="5"/>
    <n v="8899"/>
    <n v="8988"/>
    <x v="1"/>
    <x v="24"/>
    <x v="30"/>
    <x v="2"/>
    <x v="16"/>
    <x v="1"/>
    <x v="3"/>
    <x v="2"/>
  </r>
  <r>
    <x v="5"/>
    <x v="1"/>
    <s v="مخزن شيك هومز"/>
    <x v="8"/>
    <s v="مخزن شيك هومز"/>
    <x v="1"/>
    <x v="2"/>
    <s v="4×1"/>
    <s v="غير معروف"/>
    <s v="غير معروف"/>
    <x v="5"/>
    <n v="14550"/>
    <s v="مسبق الدفع"/>
    <x v="0"/>
    <x v="25"/>
    <x v="20"/>
    <x v="22"/>
    <x v="6"/>
    <x v="3"/>
    <x v="2"/>
    <x v="0"/>
  </r>
  <r>
    <x v="5"/>
    <x v="1"/>
    <s v="٦ اكتوبر الجيزه  "/>
    <x v="4"/>
    <s v="٦ اكتوبر الجيزه  "/>
    <x v="6"/>
    <x v="2"/>
    <s v="4×1"/>
    <s v="غير معروف"/>
    <s v="غير معروف"/>
    <x v="5"/>
    <n v="14550"/>
    <s v="مسبق الدفع"/>
    <x v="0"/>
    <x v="26"/>
    <x v="20"/>
    <x v="19"/>
    <x v="20"/>
    <x v="26"/>
    <x v="2"/>
    <x v="0"/>
  </r>
  <r>
    <x v="5"/>
    <x v="1"/>
    <s v="القاهرة"/>
    <x v="4"/>
    <s v="القاهرة"/>
    <x v="1"/>
    <x v="2"/>
    <s v="4×1"/>
    <s v="غير معروف"/>
    <s v="غير معروف"/>
    <x v="5"/>
    <n v="14550"/>
    <n v="11495"/>
    <x v="1"/>
    <x v="27"/>
    <x v="31"/>
    <x v="31"/>
    <x v="6"/>
    <x v="6"/>
    <x v="2"/>
    <x v="0"/>
  </r>
  <r>
    <x v="53"/>
    <x v="0"/>
    <s v="القاهره الجديده "/>
    <x v="0"/>
    <s v="القاهره الجديده "/>
    <x v="0"/>
    <x v="0"/>
    <s v="دوران"/>
    <s v="نوفال "/>
    <s v="100/140"/>
    <x v="11"/>
    <n v="12899"/>
    <n v="13028"/>
    <x v="1"/>
    <x v="28"/>
    <x v="32"/>
    <x v="31"/>
    <x v="21"/>
    <x v="12"/>
    <x v="2"/>
    <x v="0"/>
  </r>
  <r>
    <x v="54"/>
    <x v="0"/>
    <s v="مصر الجديده"/>
    <x v="0"/>
    <s v="مصر الجديده"/>
    <x v="0"/>
    <x v="0"/>
    <s v="دوران"/>
    <s v="كيفنج"/>
    <n v="80"/>
    <x v="4"/>
    <n v="10499"/>
    <s v="مسبق الدفع"/>
    <x v="0"/>
    <x v="29"/>
    <x v="33"/>
    <x v="21"/>
    <x v="22"/>
    <x v="27"/>
    <x v="2"/>
    <x v="0"/>
  </r>
  <r>
    <x v="55"/>
    <x v="0"/>
    <s v="البطاش اسكندريه"/>
    <x v="1"/>
    <s v="البطاش اسكندريه"/>
    <x v="0"/>
    <x v="0"/>
    <s v="دوران"/>
    <s v="نوفال"/>
    <s v="100/140"/>
    <x v="11"/>
    <n v="12899"/>
    <s v="مسبق الدفع"/>
    <x v="0"/>
    <x v="30"/>
    <x v="34"/>
    <x v="32"/>
    <x v="18"/>
    <x v="28"/>
    <x v="0"/>
    <x v="0"/>
  </r>
  <r>
    <x v="56"/>
    <x v="0"/>
    <s v="41 كومبوند جولدن جستس الدور 4 شقه 4"/>
    <x v="4"/>
    <s v="41 كومبوند جولدن جستس الدور 4 شقه 4"/>
    <x v="8"/>
    <x v="0"/>
    <s v="فردى"/>
    <s v="بلحه"/>
    <n v="140"/>
    <x v="12"/>
    <n v="5135"/>
    <s v="مسبق الدفع"/>
    <x v="0"/>
    <x v="31"/>
    <x v="30"/>
    <x v="28"/>
    <x v="23"/>
    <x v="22"/>
    <x v="2"/>
    <x v="0"/>
  </r>
  <r>
    <x v="5"/>
    <x v="1"/>
    <s v="٦ اكتوبر الجيزه  "/>
    <x v="4"/>
    <s v="٦ اكتوبر الجيزه  "/>
    <x v="6"/>
    <x v="0"/>
    <s v="دوران"/>
    <s v="فانتستيك"/>
    <n v="100"/>
    <x v="13"/>
    <n v="12777.5"/>
    <n v="11277.5"/>
    <x v="1"/>
    <x v="32"/>
    <x v="35"/>
    <x v="33"/>
    <x v="6"/>
    <x v="29"/>
    <x v="2"/>
    <x v="0"/>
  </r>
  <r>
    <x v="5"/>
    <x v="1"/>
    <s v="٦ اكتوبر الجيزه  "/>
    <x v="4"/>
    <s v="٦ اكتوبر الجيزه  "/>
    <x v="6"/>
    <x v="0"/>
    <s v="دوران"/>
    <s v="فانتستيك"/>
    <n v="100"/>
    <x v="13"/>
    <n v="12777.5"/>
    <n v="11277.5"/>
    <x v="1"/>
    <x v="32"/>
    <x v="35"/>
    <x v="33"/>
    <x v="6"/>
    <x v="29"/>
    <x v="2"/>
    <x v="0"/>
  </r>
  <r>
    <x v="16"/>
    <x v="1"/>
    <s v="مدينه نصر "/>
    <x v="4"/>
    <s v="مدينه نصر "/>
    <x v="5"/>
    <x v="0"/>
    <s v="دوران"/>
    <s v="فانتستيك"/>
    <n v="100"/>
    <x v="13"/>
    <n v="8544.91"/>
    <s v="حساب شركه"/>
    <x v="2"/>
    <x v="32"/>
    <x v="0"/>
    <x v="2"/>
    <x v="0"/>
    <x v="1"/>
    <x v="3"/>
    <x v="2"/>
  </r>
  <r>
    <x v="57"/>
    <x v="0"/>
    <s v="٦ اكتوبر الجيزه  "/>
    <x v="4"/>
    <s v="٦ اكتوبر الجيزه  "/>
    <x v="0"/>
    <x v="0"/>
    <s v="فردى"/>
    <s v="فورجينا"/>
    <n v="120"/>
    <x v="4"/>
    <n v="8943"/>
    <n v="9007.01"/>
    <x v="1"/>
    <x v="33"/>
    <x v="36"/>
    <x v="33"/>
    <x v="24"/>
    <x v="30"/>
    <x v="2"/>
    <x v="0"/>
  </r>
  <r>
    <x v="5"/>
    <x v="1"/>
    <s v="القاهرة"/>
    <x v="4"/>
    <s v="القاهرة"/>
    <x v="6"/>
    <x v="2"/>
    <s v="4×1"/>
    <s v="غير معروف"/>
    <s v="غير معروف"/>
    <x v="5"/>
    <n v="15516"/>
    <s v="مسبق الدفع"/>
    <x v="0"/>
    <x v="34"/>
    <x v="36"/>
    <x v="22"/>
    <x v="6"/>
    <x v="31"/>
    <x v="2"/>
    <x v="0"/>
  </r>
  <r>
    <x v="5"/>
    <x v="1"/>
    <s v="السويس "/>
    <x v="7"/>
    <s v="السويس "/>
    <x v="6"/>
    <x v="0"/>
    <s v="دوران"/>
    <s v="كينج"/>
    <n v="100"/>
    <x v="5"/>
    <n v="10045"/>
    <n v="8879"/>
    <x v="1"/>
    <x v="35"/>
    <x v="37"/>
    <x v="2"/>
    <x v="6"/>
    <x v="1"/>
    <x v="3"/>
    <x v="2"/>
  </r>
  <r>
    <x v="39"/>
    <x v="0"/>
    <s v="الشيخ زايد ٦ اكتوبر "/>
    <x v="4"/>
    <s v="الشيخ زايد ٦ اكتوبر "/>
    <x v="0"/>
    <x v="0"/>
    <s v="دوران"/>
    <s v="كينج"/>
    <n v="90"/>
    <x v="5"/>
    <n v="11649"/>
    <n v="11749"/>
    <x v="1"/>
    <x v="35"/>
    <x v="25"/>
    <x v="33"/>
    <x v="2"/>
    <x v="6"/>
    <x v="2"/>
    <x v="0"/>
  </r>
  <r>
    <x v="39"/>
    <x v="0"/>
    <s v="الشيخ زايد ٦ اكتوبر "/>
    <x v="4"/>
    <s v="الشيخ زايد ٦ اكتوبر "/>
    <x v="0"/>
    <x v="0"/>
    <s v="دوران"/>
    <s v="كينج"/>
    <n v="90"/>
    <x v="5"/>
    <n v="11649"/>
    <n v="11749"/>
    <x v="1"/>
    <x v="35"/>
    <x v="25"/>
    <x v="33"/>
    <x v="2"/>
    <x v="6"/>
    <x v="2"/>
    <x v="0"/>
  </r>
  <r>
    <x v="58"/>
    <x v="0"/>
    <s v="المعادى"/>
    <x v="0"/>
    <s v="المعادى"/>
    <x v="0"/>
    <x v="0"/>
    <s v="فردى"/>
    <s v="اسبانى"/>
    <n v="100"/>
    <x v="4"/>
    <n v="5200"/>
    <n v="4800"/>
    <x v="1"/>
    <x v="36"/>
    <x v="38"/>
    <x v="34"/>
    <x v="8"/>
    <x v="25"/>
    <x v="2"/>
    <x v="0"/>
  </r>
  <r>
    <x v="58"/>
    <x v="0"/>
    <s v="المعادى"/>
    <x v="0"/>
    <s v="المعادى"/>
    <x v="0"/>
    <x v="0"/>
    <s v="فردى"/>
    <s v="اسبانى"/>
    <n v="120"/>
    <x v="4"/>
    <n v="5300"/>
    <n v="4800"/>
    <x v="1"/>
    <x v="36"/>
    <x v="38"/>
    <x v="34"/>
    <x v="8"/>
    <x v="25"/>
    <x v="2"/>
    <x v="0"/>
  </r>
  <r>
    <x v="59"/>
    <x v="0"/>
    <s v="مدينتى"/>
    <x v="4"/>
    <s v="مدينتى"/>
    <x v="0"/>
    <x v="0"/>
    <s v="دوران"/>
    <s v="كيفنج"/>
    <n v="80"/>
    <x v="4"/>
    <n v="12099"/>
    <s v="مسبق الدفع"/>
    <x v="0"/>
    <x v="37"/>
    <x v="39"/>
    <x v="35"/>
    <x v="2"/>
    <x v="4"/>
    <x v="2"/>
    <x v="0"/>
  </r>
  <r>
    <x v="5"/>
    <x v="1"/>
    <s v="مخزن شيك هومز"/>
    <x v="8"/>
    <s v="مخزن شيك هومز"/>
    <x v="6"/>
    <x v="2"/>
    <s v="4×1"/>
    <s v="ارينا"/>
    <s v="غير معروف"/>
    <x v="5"/>
    <n v="15872"/>
    <s v="مسبق الدفع"/>
    <x v="0"/>
    <x v="38"/>
    <x v="40"/>
    <x v="28"/>
    <x v="25"/>
    <x v="31"/>
    <x v="2"/>
    <x v="0"/>
  </r>
  <r>
    <x v="60"/>
    <x v="0"/>
    <s v="التجمع الخامس"/>
    <x v="0"/>
    <s v="التجمع الخامس"/>
    <x v="9"/>
    <x v="0"/>
    <s v="فردى"/>
    <s v="فورجينا"/>
    <n v="120"/>
    <x v="4"/>
    <n v="4520"/>
    <s v="حساب شركه"/>
    <x v="2"/>
    <x v="39"/>
    <x v="41"/>
    <x v="34"/>
    <x v="7"/>
    <x v="32"/>
    <x v="2"/>
    <x v="0"/>
  </r>
  <r>
    <x v="16"/>
    <x v="1"/>
    <s v="المخزن ابو الغيط "/>
    <x v="4"/>
    <s v="المخزن ابو الغيط "/>
    <x v="5"/>
    <x v="0"/>
    <s v="دوران"/>
    <s v="كينج"/>
    <n v="90"/>
    <x v="5"/>
    <n v="5766"/>
    <s v="حساب شركه"/>
    <x v="2"/>
    <x v="40"/>
    <x v="39"/>
    <x v="36"/>
    <x v="8"/>
    <x v="11"/>
    <x v="2"/>
    <x v="0"/>
  </r>
  <r>
    <x v="61"/>
    <x v="0"/>
    <s v="المعادى"/>
    <x v="0"/>
    <s v="المعادى"/>
    <x v="0"/>
    <x v="0"/>
    <s v="فردى"/>
    <s v="فورجينا"/>
    <n v="160"/>
    <x v="7"/>
    <n v="11395"/>
    <s v="مسبق الدفع"/>
    <x v="0"/>
    <x v="40"/>
    <x v="42"/>
    <x v="35"/>
    <x v="7"/>
    <x v="10"/>
    <x v="2"/>
    <x v="0"/>
  </r>
  <r>
    <x v="62"/>
    <x v="0"/>
    <s v="التجمع الخامس"/>
    <x v="0"/>
    <s v="التجمع الخامس"/>
    <x v="0"/>
    <x v="0"/>
    <s v="دوران"/>
    <s v="كينج "/>
    <n v="80"/>
    <x v="4"/>
    <n v="12919"/>
    <s v="مسبق الدفع"/>
    <x v="0"/>
    <x v="41"/>
    <x v="43"/>
    <x v="35"/>
    <x v="26"/>
    <x v="11"/>
    <x v="2"/>
    <x v="0"/>
  </r>
  <r>
    <x v="16"/>
    <x v="1"/>
    <s v="المخزن ابو الغيط "/>
    <x v="4"/>
    <s v="المخزن ابو الغيط "/>
    <x v="5"/>
    <x v="6"/>
    <s v="دوران"/>
    <s v="نوفال"/>
    <n v="120"/>
    <x v="2"/>
    <n v="6376"/>
    <s v="حساب شركه"/>
    <x v="2"/>
    <x v="41"/>
    <x v="44"/>
    <x v="36"/>
    <x v="1"/>
    <x v="32"/>
    <x v="2"/>
    <x v="0"/>
  </r>
  <r>
    <x v="16"/>
    <x v="1"/>
    <s v="المخزن ابو الغيط "/>
    <x v="4"/>
    <s v="المخزن ابو الغيط "/>
    <x v="5"/>
    <x v="0"/>
    <s v="دوران "/>
    <s v="نوفال"/>
    <n v="90"/>
    <x v="5"/>
    <n v="5294"/>
    <s v="حساب شركه"/>
    <x v="2"/>
    <x v="41"/>
    <x v="44"/>
    <x v="36"/>
    <x v="1"/>
    <x v="32"/>
    <x v="2"/>
    <x v="0"/>
  </r>
  <r>
    <x v="63"/>
    <x v="0"/>
    <s v="٦ اكتوبر الجيزه  "/>
    <x v="4"/>
    <s v="٦ اكتوبر الجيزه  "/>
    <x v="10"/>
    <x v="6"/>
    <s v="دوران "/>
    <s v="كيفنج "/>
    <n v="80"/>
    <x v="4"/>
    <n v="7396"/>
    <s v="مسبق الدفع"/>
    <x v="0"/>
    <x v="42"/>
    <x v="45"/>
    <x v="37"/>
    <x v="10"/>
    <x v="33"/>
    <x v="2"/>
    <x v="0"/>
  </r>
  <r>
    <x v="39"/>
    <x v="0"/>
    <s v="٦ اكتوبر الجيزه  "/>
    <x v="4"/>
    <s v="٦ اكتوبر الجيزه  "/>
    <x v="0"/>
    <x v="0"/>
    <s v="دوران"/>
    <s v="كينج"/>
    <n v="90"/>
    <x v="5"/>
    <n v="13439"/>
    <n v="13575"/>
    <x v="1"/>
    <x v="43"/>
    <x v="46"/>
    <x v="37"/>
    <x v="2"/>
    <x v="31"/>
    <x v="2"/>
    <x v="0"/>
  </r>
  <r>
    <x v="64"/>
    <x v="0"/>
    <s v="مصر الجديده"/>
    <x v="0"/>
    <s v="مصر الجديده"/>
    <x v="2"/>
    <x v="6"/>
    <s v="فردى"/>
    <s v="كوين "/>
    <n v="160"/>
    <x v="6"/>
    <n v="6000"/>
    <n v="5800"/>
    <x v="1"/>
    <x v="44"/>
    <x v="47"/>
    <x v="35"/>
    <x v="9"/>
    <x v="27"/>
    <x v="2"/>
    <x v="0"/>
  </r>
  <r>
    <x v="65"/>
    <x v="0"/>
    <s v="شبرا "/>
    <x v="4"/>
    <s v="شبرا "/>
    <x v="0"/>
    <x v="0"/>
    <s v="فردى "/>
    <s v="اسبانى "/>
    <n v="120"/>
    <x v="2"/>
    <n v="10885"/>
    <n v="7965"/>
    <x v="1"/>
    <x v="45"/>
    <x v="46"/>
    <x v="38"/>
    <x v="10"/>
    <x v="4"/>
    <x v="2"/>
    <x v="0"/>
  </r>
  <r>
    <x v="8"/>
    <x v="1"/>
    <s v="العباسية "/>
    <x v="4"/>
    <s v="العباسية "/>
    <x v="3"/>
    <x v="2"/>
    <s v="t1"/>
    <s v="t1"/>
    <s v="غير معروف"/>
    <x v="0"/>
    <n v="6000"/>
    <n v="6000"/>
    <x v="1"/>
    <x v="46"/>
    <x v="46"/>
    <x v="39"/>
    <x v="26"/>
    <x v="34"/>
    <x v="5"/>
    <x v="0"/>
  </r>
  <r>
    <x v="66"/>
    <x v="0"/>
    <s v="جليم الإسكندرية "/>
    <x v="4"/>
    <s v="جليم الإسكندرية "/>
    <x v="0"/>
    <x v="1"/>
    <s v="غير معروف"/>
    <s v="مكتبه"/>
    <s v="غير معروف"/>
    <x v="0"/>
    <n v="8449"/>
    <s v="مسبق الدفع"/>
    <x v="0"/>
    <x v="47"/>
    <x v="48"/>
    <x v="40"/>
    <x v="1"/>
    <x v="35"/>
    <x v="0"/>
    <x v="0"/>
  </r>
  <r>
    <x v="67"/>
    <x v="0"/>
    <s v="مدينه نصر "/>
    <x v="4"/>
    <s v="مدينه نصر "/>
    <x v="0"/>
    <x v="1"/>
    <s v="دوران "/>
    <s v="ميكانزم"/>
    <s v="غير معروف"/>
    <x v="4"/>
    <n v="10249"/>
    <n v="6211"/>
    <x v="1"/>
    <x v="47"/>
    <x v="48"/>
    <x v="41"/>
    <x v="1"/>
    <x v="3"/>
    <x v="2"/>
    <x v="0"/>
  </r>
  <r>
    <x v="68"/>
    <x v="0"/>
    <s v="المندره اسكندريه"/>
    <x v="1"/>
    <s v="المندره اسكندريه"/>
    <x v="0"/>
    <x v="0"/>
    <s v="دوران"/>
    <s v="كيفنج"/>
    <n v="100"/>
    <x v="5"/>
    <n v="14905"/>
    <s v="مسبق الدفع"/>
    <x v="0"/>
    <x v="48"/>
    <x v="49"/>
    <x v="2"/>
    <x v="26"/>
    <x v="1"/>
    <x v="3"/>
    <x v="2"/>
  </r>
  <r>
    <x v="16"/>
    <x v="1"/>
    <s v="المخزن ابو الغيط "/>
    <x v="4"/>
    <s v="المخزن ابو الغيط "/>
    <x v="5"/>
    <x v="0"/>
    <s v="دوران "/>
    <s v="كيفنج "/>
    <n v="90"/>
    <x v="1"/>
    <n v="5217"/>
    <s v="حساب شركه"/>
    <x v="2"/>
    <x v="49"/>
    <x v="50"/>
    <x v="38"/>
    <x v="1"/>
    <x v="33"/>
    <x v="2"/>
    <x v="0"/>
  </r>
  <r>
    <x v="69"/>
    <x v="0"/>
    <s v="العبور"/>
    <x v="4"/>
    <s v="العبور"/>
    <x v="0"/>
    <x v="6"/>
    <s v="منطبق"/>
    <s v="غير معروف"/>
    <s v="غير معروف"/>
    <x v="5"/>
    <n v="10249"/>
    <n v="6211"/>
    <x v="1"/>
    <x v="50"/>
    <x v="50"/>
    <x v="41"/>
    <x v="9"/>
    <x v="10"/>
    <x v="2"/>
    <x v="0"/>
  </r>
  <r>
    <x v="70"/>
    <x v="0"/>
    <s v="اب تاون كايرو التجمع "/>
    <x v="4"/>
    <s v="اب تاون كايرو التجمع "/>
    <x v="6"/>
    <x v="0"/>
    <s v="دوران"/>
    <s v="كينج"/>
    <s v="غير معروف"/>
    <x v="5"/>
    <n v="10445"/>
    <n v="7707"/>
    <x v="1"/>
    <x v="51"/>
    <x v="51"/>
    <x v="42"/>
    <x v="20"/>
    <x v="36"/>
    <x v="2"/>
    <x v="0"/>
  </r>
  <r>
    <x v="71"/>
    <x v="0"/>
    <s v="القاهره الجديده"/>
    <x v="4"/>
    <s v="القاهره الجديده"/>
    <x v="0"/>
    <x v="1"/>
    <s v="دوران"/>
    <s v="ميكانزم"/>
    <s v="غير معروف"/>
    <x v="5"/>
    <n v="11199"/>
    <n v="11257"/>
    <x v="1"/>
    <x v="52"/>
    <x v="52"/>
    <x v="41"/>
    <x v="7"/>
    <x v="7"/>
    <x v="2"/>
    <x v="0"/>
  </r>
  <r>
    <x v="72"/>
    <x v="0"/>
    <s v="٦ اكتوبر الجيزه  "/>
    <x v="4"/>
    <s v="٦ اكتوبر الجيزه  "/>
    <x v="0"/>
    <x v="6"/>
    <s v="دوران"/>
    <s v="نوفال"/>
    <n v="80"/>
    <x v="5"/>
    <n v="13099"/>
    <n v="13231"/>
    <x v="1"/>
    <x v="52"/>
    <x v="53"/>
    <x v="43"/>
    <x v="26"/>
    <x v="14"/>
    <x v="2"/>
    <x v="0"/>
  </r>
  <r>
    <x v="0"/>
    <x v="0"/>
    <s v="العجوزه - الجيزه"/>
    <x v="0"/>
    <s v="العجوزه - الجيزه"/>
    <x v="0"/>
    <x v="0"/>
    <s v="منطبق"/>
    <s v="غير معروف"/>
    <s v="غير معروف"/>
    <x v="0"/>
    <n v="10360.486740959301"/>
    <s v="مسبق الدفع"/>
    <x v="0"/>
    <x v="53"/>
    <x v="0"/>
    <x v="44"/>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
    <m/>
    <m/>
    <x v="0"/>
    <x v="0"/>
    <s v="العجوزه - الجيزه"/>
    <x v="0"/>
    <s v="هومزمارت"/>
    <x v="0"/>
    <s v="سرير"/>
    <x v="0"/>
    <s v="منطبق"/>
    <m/>
    <m/>
    <x v="0"/>
    <m/>
    <m/>
    <s v="سرير منطبق الحديد أبيض والقماش أبيض "/>
    <x v="0"/>
    <s v="مسبق الدفع"/>
    <s v="27\7\2024"/>
    <s v="محمود"/>
    <d v="2024-08-10T00:00:00"/>
    <s v="تم التسليم عن طريق شركه شحن "/>
    <x v="0"/>
    <s v="تم التسليم"/>
  </r>
  <r>
    <n v="2"/>
    <m/>
    <m/>
    <x v="1"/>
    <x v="1"/>
    <s v="سموحه - اسكندريه"/>
    <x v="0"/>
    <s v="هومزمارت"/>
    <x v="0"/>
    <s v="سرير"/>
    <x v="0"/>
    <s v="منطبق"/>
    <m/>
    <m/>
    <x v="0"/>
    <m/>
    <m/>
    <s v="سرير منطبق أسود والقماش أسود "/>
    <x v="0"/>
    <n v="9749"/>
    <s v="28\7\2024"/>
    <s v="محمود"/>
    <d v="2024-08-11T00:00:00"/>
    <s v="تم التسليم عن طريق شركه شحن "/>
    <x v="0"/>
    <s v="تم التسليم"/>
  </r>
  <r>
    <n v="3"/>
    <m/>
    <m/>
    <x v="2"/>
    <x v="2"/>
    <s v="سيدى عبد الرحمن - الساحل الشمالى "/>
    <x v="0"/>
    <s v="هومزمارت"/>
    <x v="0"/>
    <s v="سرير"/>
    <x v="1"/>
    <s v="دورين"/>
    <s v="كيفنج"/>
    <n v="90"/>
    <x v="1"/>
    <s v="ازرق"/>
    <m/>
    <s v="سرير كيفينج مقاس 90 لون ازرق "/>
    <x v="1"/>
    <n v="10067.68"/>
    <s v="27\7\2024"/>
    <s v="الغردقه "/>
    <m/>
    <s v="فشل التسليم "/>
    <x v="1"/>
    <s v="فشل التسليم"/>
  </r>
  <r>
    <n v="4"/>
    <m/>
    <m/>
    <x v="3"/>
    <x v="3"/>
    <s v="الغردقه "/>
    <x v="0"/>
    <s v="هومزمارت"/>
    <x v="1"/>
    <s v="ترابيزه"/>
    <x v="2"/>
    <m/>
    <m/>
    <m/>
    <x v="2"/>
    <m/>
    <m/>
    <s v="ترابيزه قهوه متحركه "/>
    <x v="2"/>
    <s v="مسبق الدفع"/>
    <d v="2024-08-25T00:00:00"/>
    <d v="2024-09-07T00:00:00"/>
    <d v="2024-08-27T00:00:00"/>
    <s v="تم التسليم عن طريق شركه شحن "/>
    <x v="0"/>
    <s v="تم التسليم"/>
  </r>
  <r>
    <n v="5"/>
    <m/>
    <m/>
    <x v="4"/>
    <x v="2"/>
    <s v="سيدى عبد الرحمن - الساحل الشمالى "/>
    <x v="0"/>
    <s v="هومزمارت"/>
    <x v="0"/>
    <s v="سرير"/>
    <x v="1"/>
    <s v="دورين"/>
    <s v="نوفال"/>
    <n v="100"/>
    <x v="3"/>
    <s v="رمادى"/>
    <m/>
    <s v="سرير نوفال متر رمادى "/>
    <x v="3"/>
    <n v="12974.22"/>
    <d v="2024-08-16T00:00:00"/>
    <d v="2024-08-31T00:00:00"/>
    <m/>
    <s v="فشل التسليم "/>
    <x v="1"/>
    <s v="فشل التسليم"/>
  </r>
  <r>
    <n v="6"/>
    <m/>
    <m/>
    <x v="5"/>
    <x v="4"/>
    <m/>
    <x v="1"/>
    <s v="شيك هومز "/>
    <x v="2"/>
    <s v="كنبة "/>
    <x v="3"/>
    <s v="4×1"/>
    <m/>
    <m/>
    <x v="0"/>
    <m/>
    <m/>
    <s v="كنبه سرير رمادى "/>
    <x v="4"/>
    <s v="مسبق الدفع"/>
    <d v="2024-08-14T00:00:00"/>
    <d v="2024-09-03T00:00:00"/>
    <d v="2024-09-05T00:00:00"/>
    <s v="تم التسليم عن طريق شركه شحن "/>
    <x v="0"/>
    <s v="تم التسليم"/>
  </r>
  <r>
    <n v="7"/>
    <m/>
    <m/>
    <x v="6"/>
    <x v="5"/>
    <s v="التجمع الخامس"/>
    <x v="2"/>
    <s v="فيس بوك"/>
    <x v="2"/>
    <s v="كنبة "/>
    <x v="3"/>
    <s v="4×1"/>
    <m/>
    <m/>
    <x v="2"/>
    <m/>
    <m/>
    <s v="كنبه سرير رمادى "/>
    <x v="5"/>
    <n v="12000"/>
    <d v="2024-08-17T00:00:00"/>
    <d v="2024-08-20T00:00:00"/>
    <d v="2024-08-19T00:00:00"/>
    <s v="تم تسليم العميل عن طريق شركه شحن "/>
    <x v="0"/>
    <s v="تم التسليم"/>
  </r>
  <r>
    <n v="8"/>
    <m/>
    <m/>
    <x v="7"/>
    <x v="6"/>
    <s v="٦ اكتوبر الجيزه  "/>
    <x v="0"/>
    <s v="هومزمارت"/>
    <x v="0"/>
    <s v="سرير"/>
    <x v="4"/>
    <s v="فردى"/>
    <m/>
    <m/>
    <x v="2"/>
    <m/>
    <m/>
    <s v="سرير فردى أبيض "/>
    <x v="6"/>
    <s v="مسبق الدفع"/>
    <d v="2024-08-25T00:00:00"/>
    <d v="2024-09-03T00:00:00"/>
    <d v="2024-09-10T00:00:00"/>
    <s v="تم التسليم عن طريق شركه شحن "/>
    <x v="0"/>
    <s v="تم التسليم"/>
  </r>
  <r>
    <n v="9"/>
    <m/>
    <m/>
    <x v="8"/>
    <x v="7"/>
    <s v="العباسيه"/>
    <x v="3"/>
    <s v="تاكى"/>
    <x v="3"/>
    <s v="ركنة"/>
    <x v="5"/>
    <s v="ركنة بسرير"/>
    <m/>
    <m/>
    <x v="2"/>
    <m/>
    <m/>
    <s v="ركنه "/>
    <x v="7"/>
    <n v="22000"/>
    <d v="2024-08-19T00:00:00"/>
    <d v="2024-09-01T00:00:00"/>
    <d v="2024-09-17T00:00:00"/>
    <m/>
    <x v="0"/>
    <s v="تم التسليم"/>
  </r>
  <r>
    <n v="10"/>
    <m/>
    <m/>
    <x v="8"/>
    <x v="7"/>
    <s v="العباسيه"/>
    <x v="3"/>
    <s v="تاكى "/>
    <x v="2"/>
    <s v="كنبة "/>
    <x v="6"/>
    <s v="سحارة"/>
    <m/>
    <m/>
    <x v="2"/>
    <m/>
    <m/>
    <s v="٢ كنبه سحاره بمخدع"/>
    <x v="8"/>
    <n v="16000"/>
    <m/>
    <m/>
    <m/>
    <s v="ملغى "/>
    <x v="2"/>
    <s v="لاغي"/>
  </r>
  <r>
    <n v="11"/>
    <m/>
    <m/>
    <x v="8"/>
    <x v="7"/>
    <s v="العباسيه "/>
    <x v="3"/>
    <s v="تاكى"/>
    <x v="2"/>
    <s v="كنبة "/>
    <x v="6"/>
    <s v="سحارة"/>
    <m/>
    <m/>
    <x v="2"/>
    <m/>
    <m/>
    <s v="٢ كنبه سحاره بدون مخدع "/>
    <x v="9"/>
    <n v="12000"/>
    <d v="2024-08-25T00:00:00"/>
    <d v="2024-09-15T00:00:00"/>
    <d v="2024-09-17T00:00:00"/>
    <s v="تم التسليم محمود على "/>
    <x v="0"/>
    <s v="تم التسليم"/>
  </r>
  <r>
    <n v="12"/>
    <m/>
    <m/>
    <x v="8"/>
    <x v="7"/>
    <s v="العباسيه "/>
    <x v="3"/>
    <s v="تاكى"/>
    <x v="2"/>
    <s v="كنبة "/>
    <x v="6"/>
    <s v="سحارة"/>
    <m/>
    <m/>
    <x v="2"/>
    <m/>
    <m/>
    <s v="٢ كنبه سحاره بدون مخدع "/>
    <x v="9"/>
    <n v="12000"/>
    <d v="2024-08-25T00:00:00"/>
    <d v="2024-09-15T00:00:00"/>
    <d v="2024-09-17T00:00:00"/>
    <s v="تم التسليم محمود على "/>
    <x v="0"/>
    <s v="تم التسليم"/>
  </r>
  <r>
    <n v="13"/>
    <m/>
    <m/>
    <x v="9"/>
    <x v="8"/>
    <s v="مصر الجديده"/>
    <x v="0"/>
    <s v="هومزمارت"/>
    <x v="0"/>
    <s v="سرير"/>
    <x v="1"/>
    <s v="دورين"/>
    <s v="نوفال"/>
    <n v="80"/>
    <x v="4"/>
    <s v="أبيض"/>
    <m/>
    <s v="سرير نوفال أبيض مقاس ٨٠"/>
    <x v="10"/>
    <n v="8924"/>
    <d v="2024-09-01T00:00:00"/>
    <d v="2024-09-16T00:00:00"/>
    <d v="2024-09-08T00:00:00"/>
    <s v="تم التسليم عن طريق شركه شحن "/>
    <x v="0"/>
    <s v="تم التسليم"/>
  </r>
  <r>
    <n v="14"/>
    <n v="1404561"/>
    <n v="1199284"/>
    <x v="10"/>
    <x v="6"/>
    <s v="٦ اكتوبر الجيزه  "/>
    <x v="0"/>
    <s v="هومزمارت"/>
    <x v="0"/>
    <s v="سرير"/>
    <x v="4"/>
    <s v="فردى"/>
    <s v="نوفال"/>
    <n v="80"/>
    <x v="4"/>
    <s v="أبيض"/>
    <m/>
    <s v="سرير فردى خشب موسكى الحديد أبيض مقاس ٨٠"/>
    <x v="11"/>
    <n v="5895"/>
    <d v="2024-09-05T00:00:00"/>
    <d v="2024-09-14T00:00:00"/>
    <m/>
    <m/>
    <x v="2"/>
    <s v="لاغي"/>
  </r>
  <r>
    <n v="15"/>
    <n v="1401137"/>
    <n v="1197500"/>
    <x v="11"/>
    <x v="9"/>
    <s v="المقطم "/>
    <x v="0"/>
    <s v="هومزمارت"/>
    <x v="1"/>
    <s v="ترابيزه"/>
    <x v="7"/>
    <s v="2 ميكانزم"/>
    <m/>
    <m/>
    <x v="2"/>
    <m/>
    <m/>
    <s v="ترابيزه قهوه علويه جديده "/>
    <x v="12"/>
    <s v="مسبق الدفع"/>
    <d v="2024-09-04T00:00:00"/>
    <d v="2024-09-16T00:00:00"/>
    <d v="2024-09-25T00:00:00"/>
    <s v="تم التسليم عن طريق شركه شحن "/>
    <x v="3"/>
    <s v="مرتجع"/>
  </r>
  <r>
    <n v="16"/>
    <m/>
    <m/>
    <x v="12"/>
    <x v="5"/>
    <s v="التجمع الخامس "/>
    <x v="4"/>
    <s v="اوسكار ريتن "/>
    <x v="0"/>
    <s v="سرير"/>
    <x v="1"/>
    <s v="دورين"/>
    <s v="كيفنج"/>
    <n v="120"/>
    <x v="5"/>
    <s v="أسود"/>
    <m/>
    <s v="٢ سرير كيفنج ١٢٠ أسود "/>
    <x v="13"/>
    <n v="9700"/>
    <d v="2024-09-03T00:00:00"/>
    <d v="2024-09-16T00:00:00"/>
    <d v="2024-09-15T00:00:00"/>
    <s v="تم التسليم محمود على "/>
    <x v="0"/>
    <s v="تم التسليم"/>
  </r>
  <r>
    <n v="17"/>
    <m/>
    <m/>
    <x v="12"/>
    <x v="5"/>
    <s v="التجمع الخامس "/>
    <x v="4"/>
    <s v="اوسكار ريتن "/>
    <x v="0"/>
    <s v="سرير"/>
    <x v="1"/>
    <s v="دورين"/>
    <s v="كيفنج"/>
    <n v="120"/>
    <x v="5"/>
    <s v="أسود"/>
    <m/>
    <s v="٢ سرير كيفنج ١٢٠ أسود "/>
    <x v="13"/>
    <n v="9700"/>
    <d v="2024-09-03T00:00:00"/>
    <d v="2024-09-16T00:00:00"/>
    <d v="2024-09-15T00:00:00"/>
    <s v="تم التسليم محمود على "/>
    <x v="0"/>
    <s v="تم التسليم"/>
  </r>
  <r>
    <n v="18"/>
    <n v="1400149"/>
    <n v="1196947"/>
    <x v="13"/>
    <x v="10"/>
    <s v="مدينه نصر "/>
    <x v="0"/>
    <s v="هومزمارت"/>
    <x v="0"/>
    <s v="سرير"/>
    <x v="1"/>
    <s v="دورين"/>
    <s v="كينج"/>
    <n v="80"/>
    <x v="4"/>
    <s v="أبيض"/>
    <m/>
    <s v="سرير كينج أبيض مقاس ٨٠ التصميم الجديد "/>
    <x v="14"/>
    <n v="11310"/>
    <d v="2024-09-04T00:00:00"/>
    <d v="2024-09-18T00:00:00"/>
    <m/>
    <m/>
    <x v="2"/>
    <s v="لاغي"/>
  </r>
  <r>
    <n v="19"/>
    <n v="1408099"/>
    <n v="1201057"/>
    <x v="6"/>
    <x v="11"/>
    <s v="القاهره الجديده"/>
    <x v="0"/>
    <s v="هومزمارت"/>
    <x v="0"/>
    <s v="سرير"/>
    <x v="4"/>
    <s v="فردى"/>
    <s v="فورجينا"/>
    <n v="80"/>
    <x v="4"/>
    <s v="أبيض"/>
    <m/>
    <s v="٤سرير فردى خشب موسكى الحديد أبيض مقاس ٨٠"/>
    <x v="15"/>
    <s v="مسبق الدفع"/>
    <d v="2024-09-06T00:00:00"/>
    <d v="2024-09-16T00:00:00"/>
    <d v="2024-09-21T00:00:00"/>
    <s v="تم التسليم محمود على "/>
    <x v="0"/>
    <s v="تم التسليم"/>
  </r>
  <r>
    <n v="20"/>
    <m/>
    <m/>
    <x v="14"/>
    <x v="7"/>
    <s v="العباسيه"/>
    <x v="3"/>
    <s v="تاكى"/>
    <x v="4"/>
    <s v="كرسى"/>
    <x v="8"/>
    <s v="فنيسيا"/>
    <m/>
    <m/>
    <x v="2"/>
    <m/>
    <m/>
    <s v="٢ فوتيه فنيسيا "/>
    <x v="16"/>
    <n v="9300"/>
    <d v="2024-09-04T00:00:00"/>
    <d v="2024-09-15T00:00:00"/>
    <d v="2024-09-17T00:00:00"/>
    <s v="تم التسليم محمود على "/>
    <x v="0"/>
    <s v="تم التسليم"/>
  </r>
  <r>
    <n v="21"/>
    <n v="1408098"/>
    <n v="1201057"/>
    <x v="6"/>
    <x v="11"/>
    <s v="القاهره الجديده"/>
    <x v="0"/>
    <s v="هومزمارت"/>
    <x v="0"/>
    <s v="سرير"/>
    <x v="4"/>
    <s v="فردى"/>
    <s v="فورجينا"/>
    <n v="80"/>
    <x v="4"/>
    <s v="أبيض"/>
    <m/>
    <s v="٤سرير فردى خشب موسكى الحديد أبيض مقاس ٨٠"/>
    <x v="15"/>
    <s v="مسبق الدفع"/>
    <d v="2024-09-06T00:00:00"/>
    <d v="2024-09-16T00:00:00"/>
    <d v="2024-09-21T00:00:00"/>
    <s v="تم التسليم محمود على "/>
    <x v="0"/>
    <s v="تم التسليم"/>
  </r>
  <r>
    <n v="22"/>
    <n v="1408100"/>
    <n v="1201057"/>
    <x v="6"/>
    <x v="11"/>
    <s v="القاهره الجديده"/>
    <x v="0"/>
    <s v="هومزمارت"/>
    <x v="0"/>
    <s v="سرير"/>
    <x v="4"/>
    <s v="فردى"/>
    <s v="فورجينا"/>
    <n v="80"/>
    <x v="4"/>
    <s v="أبيض"/>
    <m/>
    <s v="٤سرير فردى خشب موسكى الحديد أبيض مقاس ٨٠"/>
    <x v="15"/>
    <s v="مسبق الدفع"/>
    <d v="2024-09-06T00:00:00"/>
    <d v="2024-09-16T00:00:00"/>
    <d v="2024-09-21T00:00:00"/>
    <s v="تم التسليم محمود على "/>
    <x v="0"/>
    <s v="تم التسليم"/>
  </r>
  <r>
    <n v="23"/>
    <n v="1408101"/>
    <n v="1201057"/>
    <x v="6"/>
    <x v="11"/>
    <s v="القاهره الجديده"/>
    <x v="0"/>
    <s v="هومزمارت"/>
    <x v="0"/>
    <s v="سرير"/>
    <x v="4"/>
    <s v="فردى"/>
    <s v="فورجينا"/>
    <n v="80"/>
    <x v="4"/>
    <s v="أبيض"/>
    <m/>
    <s v="٤سرير فردى خشب موسكى الحديد أبيض مقاس ٨٠"/>
    <x v="15"/>
    <s v="مسبق الدفع"/>
    <d v="2024-09-06T00:00:00"/>
    <d v="2024-09-16T00:00:00"/>
    <d v="2024-09-21T00:00:00"/>
    <s v="تم التسليم محمود على "/>
    <x v="0"/>
    <s v="تم التسليم"/>
  </r>
  <r>
    <n v="24"/>
    <n v="1513856"/>
    <n v="1231946"/>
    <x v="15"/>
    <x v="12"/>
    <s v="المعادى"/>
    <x v="0"/>
    <s v="هومزمارت"/>
    <x v="1"/>
    <s v="ترابيزه"/>
    <x v="7"/>
    <s v="2 ميكانزم"/>
    <m/>
    <m/>
    <x v="2"/>
    <m/>
    <m/>
    <s v="ترابيزه قهوه علويه جديده "/>
    <x v="17"/>
    <s v="مسبق الدفع"/>
    <d v="2024-09-03T00:00:00"/>
    <d v="2024-10-16T00:00:00"/>
    <m/>
    <m/>
    <x v="2"/>
    <s v="لاغي"/>
  </r>
  <r>
    <n v="25"/>
    <n v="1411691"/>
    <n v="1202775"/>
    <x v="16"/>
    <x v="6"/>
    <s v="٦ اكتوبر الجيزه  "/>
    <x v="0"/>
    <s v="هومزمارت"/>
    <x v="0"/>
    <s v="سرير"/>
    <x v="4"/>
    <s v="فردى"/>
    <s v="اسبانى"/>
    <n v="120"/>
    <x v="4"/>
    <s v="أبيض"/>
    <m/>
    <s v="سرير اسبانى أبيض ١٢٠"/>
    <x v="18"/>
    <s v="مسبق الدفع"/>
    <d v="2024-09-09T00:00:00"/>
    <d v="2024-09-17T00:00:00"/>
    <d v="2024-09-21T00:00:00"/>
    <s v="تم التسليم محمود على "/>
    <x v="0"/>
    <s v="تم التسليم"/>
  </r>
  <r>
    <n v="26"/>
    <m/>
    <m/>
    <x v="5"/>
    <x v="4"/>
    <m/>
    <x v="1"/>
    <s v="شيك هومز "/>
    <x v="0"/>
    <s v="سرير"/>
    <x v="1"/>
    <s v="دورين"/>
    <s v="كينج"/>
    <n v="100"/>
    <x v="4"/>
    <s v="أبيض"/>
    <m/>
    <s v="سرير كينج أبيض "/>
    <x v="19"/>
    <n v="5781.75"/>
    <d v="2024-09-01T00:00:00"/>
    <d v="2024-09-19T00:00:00"/>
    <d v="2024-09-21T00:00:00"/>
    <s v="تم التسليم محمود على "/>
    <x v="0"/>
    <s v="تم التسليم"/>
  </r>
  <r>
    <n v="27"/>
    <m/>
    <m/>
    <x v="5"/>
    <x v="4"/>
    <m/>
    <x v="1"/>
    <s v="شيك هومز"/>
    <x v="0"/>
    <s v="سرير"/>
    <x v="1"/>
    <s v="دورين"/>
    <s v="كينج"/>
    <n v="100"/>
    <x v="5"/>
    <s v="أسود"/>
    <m/>
    <s v="سرير كينج أسود "/>
    <x v="19"/>
    <n v="1278.53"/>
    <d v="2024-09-01T00:00:00"/>
    <d v="2024-09-19T00:00:00"/>
    <d v="2024-09-21T00:00:00"/>
    <s v="تم التسليم محمود على "/>
    <x v="0"/>
    <s v="تم التسليم"/>
  </r>
  <r>
    <n v="28"/>
    <m/>
    <m/>
    <x v="17"/>
    <x v="13"/>
    <s v="مخزن اوسكار في القناطر "/>
    <x v="4"/>
    <s v="اوسكار ريتن "/>
    <x v="0"/>
    <s v="سرير"/>
    <x v="4"/>
    <s v="فردى"/>
    <s v="فورجينا"/>
    <n v="120"/>
    <x v="4"/>
    <s v="أبيض"/>
    <m/>
    <s v="٢ سريرفورجينا خشب موسكى أبيض مقاس ١٢٠"/>
    <x v="20"/>
    <s v="حساب شركه"/>
    <d v="2024-09-12T00:00:00"/>
    <d v="2024-09-21T00:00:00"/>
    <d v="2024-09-22T00:00:00"/>
    <s v="تم التسليم محمود على "/>
    <x v="0"/>
    <s v="تم التسليم"/>
  </r>
  <r>
    <n v="29"/>
    <m/>
    <m/>
    <x v="17"/>
    <x v="13"/>
    <s v="مخزن اوسكار في القناطر "/>
    <x v="4"/>
    <s v="اوسكار ريتن "/>
    <x v="0"/>
    <s v="سرير"/>
    <x v="4"/>
    <s v="فردى"/>
    <s v="فورجينا"/>
    <n v="120"/>
    <x v="4"/>
    <s v="أبيض"/>
    <m/>
    <s v="٢ سريرفورجينا خشب موسكى أبيض مقاس ١٢٠"/>
    <x v="20"/>
    <s v="حساب شركه"/>
    <d v="2024-09-12T00:00:00"/>
    <d v="2024-09-21T00:00:00"/>
    <d v="2024-09-22T00:00:00"/>
    <s v="تم التسليم محمود على "/>
    <x v="0"/>
    <s v="تم التسليم"/>
  </r>
  <r>
    <n v="30"/>
    <m/>
    <m/>
    <x v="17"/>
    <x v="13"/>
    <s v="مخزن اوسكار في القناطر "/>
    <x v="4"/>
    <s v="اوسكار ريتن "/>
    <x v="0"/>
    <s v="سرير"/>
    <x v="4"/>
    <s v="فردى"/>
    <s v="ارفيل"/>
    <n v="120"/>
    <x v="5"/>
    <s v="أسود"/>
    <m/>
    <s v="٢ سرير ارفيل ١٢٠ أسود "/>
    <x v="20"/>
    <s v="مسبق الدفع "/>
    <d v="2024-09-12T00:00:00"/>
    <d v="2024-09-21T00:00:00"/>
    <d v="2024-09-22T00:00:00"/>
    <s v="تم التسليم محمود على "/>
    <x v="0"/>
    <s v="تم التسليم"/>
  </r>
  <r>
    <n v="31"/>
    <m/>
    <m/>
    <x v="17"/>
    <x v="13"/>
    <s v="مخزن اوسكار في القناطر "/>
    <x v="4"/>
    <s v="اوسكار ريتن "/>
    <x v="0"/>
    <s v="سرير"/>
    <x v="4"/>
    <s v="فردى"/>
    <s v="ارفيل"/>
    <n v="120"/>
    <x v="5"/>
    <s v="أسود"/>
    <m/>
    <s v="٢ سرير ارفيل ١٢٠ أسود "/>
    <x v="20"/>
    <s v="مسبق الدفع "/>
    <d v="2024-09-12T00:00:00"/>
    <d v="2024-09-21T00:00:00"/>
    <d v="2024-09-22T00:00:00"/>
    <s v="تم التسليم محمود على "/>
    <x v="0"/>
    <s v="تم التسليم"/>
  </r>
  <r>
    <n v="32"/>
    <n v="1509211"/>
    <n v="1230837"/>
    <x v="18"/>
    <x v="14"/>
    <s v="العين السخنه"/>
    <x v="0"/>
    <s v="هومزمارت"/>
    <x v="0"/>
    <s v="سرير"/>
    <x v="0"/>
    <s v="منطبق"/>
    <m/>
    <m/>
    <x v="5"/>
    <s v="أسود"/>
    <s v="أسود"/>
    <s v="سرير منطببق أسود وقماش أسود"/>
    <x v="21"/>
    <s v="مسبق الدفع "/>
    <s v="14/9/224"/>
    <d v="2024-09-22T00:00:00"/>
    <s v="فشل التسليم"/>
    <s v="فشل التسليم "/>
    <x v="1"/>
    <s v="فشل التسليم"/>
  </r>
  <r>
    <n v="33"/>
    <n v="1536687"/>
    <n v="1237682"/>
    <x v="19"/>
    <x v="15"/>
    <s v="الابراهيميه . الإسكندرية "/>
    <x v="0"/>
    <s v="هومزمارت"/>
    <x v="1"/>
    <s v="ترابيزه"/>
    <x v="9"/>
    <s v="رف سحاب"/>
    <m/>
    <m/>
    <x v="2"/>
    <m/>
    <m/>
    <s v="ترابيزه قهوه علويه برف سحاب "/>
    <x v="22"/>
    <s v="مسبق الدفع "/>
    <d v="2024-09-14T00:00:00"/>
    <d v="2024-09-22T00:00:00"/>
    <d v="2024-09-24T00:00:00"/>
    <s v="تم التسليم عن طريق شركه شحن "/>
    <x v="0"/>
    <s v="تم التسليم"/>
  </r>
  <r>
    <n v="34"/>
    <n v="1520537"/>
    <n v="1233624"/>
    <x v="20"/>
    <x v="6"/>
    <s v="٦ اكتوبر الجيزه  "/>
    <x v="0"/>
    <s v="هومزمارت"/>
    <x v="0"/>
    <s v="سرير"/>
    <x v="0"/>
    <s v="منطبق"/>
    <m/>
    <m/>
    <x v="5"/>
    <s v="أسود"/>
    <s v="أسود"/>
    <s v="سرير منطبق أسود حديد وقماش"/>
    <x v="21"/>
    <s v="مسبق الدفع"/>
    <d v="2024-09-13T00:00:00"/>
    <d v="2024-09-24T00:00:00"/>
    <s v="31/9/2024"/>
    <s v="تم التسليم عن طريق شركه شحن "/>
    <x v="0"/>
    <s v="تم التسليم"/>
  </r>
  <r>
    <n v="35"/>
    <n v="1422998"/>
    <n v="1207350"/>
    <x v="21"/>
    <x v="16"/>
    <s v="القطاميه "/>
    <x v="0"/>
    <s v="هومزمارت"/>
    <x v="1"/>
    <s v="ترابيزه"/>
    <x v="7"/>
    <s v="2 ميكانزم"/>
    <m/>
    <m/>
    <x v="2"/>
    <m/>
    <m/>
    <s v="ترابيزه قهوه علويه جديده "/>
    <x v="12"/>
    <n v="7928"/>
    <d v="2024-09-12T00:00:00"/>
    <d v="2024-09-26T00:00:00"/>
    <s v="تم التسليم عن طريق شركه شحن "/>
    <s v="تم التسليم عن طريق شركه شحن "/>
    <x v="4"/>
    <s v="تم التصنيع"/>
  </r>
  <r>
    <n v="36"/>
    <m/>
    <m/>
    <x v="22"/>
    <x v="17"/>
    <s v="١٨ شارع البحيري بولاق الدكرور الجيزه "/>
    <x v="2"/>
    <s v="فيس بوك"/>
    <x v="0"/>
    <s v="سرير"/>
    <x v="10"/>
    <s v="ثلاثه ادوار"/>
    <s v="كيفنج"/>
    <n v="100"/>
    <x v="5"/>
    <s v="أسود"/>
    <m/>
    <s v="سرير ٣ ادورا أسود مقاس ١٠٠ "/>
    <x v="23"/>
    <n v="9450"/>
    <d v="2024-09-12T00:00:00"/>
    <d v="2024-09-26T00:00:00"/>
    <m/>
    <m/>
    <x v="2"/>
    <s v="لاغي"/>
  </r>
  <r>
    <n v="37"/>
    <n v="1459790"/>
    <n v="1218257"/>
    <x v="23"/>
    <x v="11"/>
    <s v="القاهره الجديده"/>
    <x v="0"/>
    <s v="هومزمارت"/>
    <x v="0"/>
    <s v="سرير"/>
    <x v="4"/>
    <s v="فردى"/>
    <s v="اسبانى"/>
    <n v="120"/>
    <x v="5"/>
    <s v="أسود"/>
    <m/>
    <s v="سرير اسبانى أسود مقاس ١٢٠"/>
    <x v="24"/>
    <s v="مسبق الدفع"/>
    <d v="2024-09-13T00:00:00"/>
    <d v="2024-09-26T00:00:00"/>
    <d v="2024-10-03T00:00:00"/>
    <s v="تم التسليم محمود على "/>
    <x v="0"/>
    <s v="تم التسليم"/>
  </r>
  <r>
    <n v="38"/>
    <n v="1455486"/>
    <n v="1217163"/>
    <x v="24"/>
    <x v="11"/>
    <s v="القاهره الجديده"/>
    <x v="0"/>
    <s v="هومزمارت"/>
    <x v="0"/>
    <s v="سرير"/>
    <x v="4"/>
    <s v="فردى"/>
    <s v="كورين"/>
    <n v="140"/>
    <x v="6"/>
    <s v="دهبي"/>
    <s v="رمادى"/>
    <s v="سرير كوين مقاس ١٤٠ دهبي ورمادى "/>
    <x v="25"/>
    <s v="مسبق الدفع"/>
    <d v="2024-09-13T00:00:00"/>
    <d v="2024-09-26T00:00:00"/>
    <d v="2024-10-03T00:00:00"/>
    <s v="تم التسليم محمود على "/>
    <x v="0"/>
    <s v="تم التسليم"/>
  </r>
  <r>
    <n v="39"/>
    <n v="1504407"/>
    <n v="1229760"/>
    <x v="25"/>
    <x v="6"/>
    <s v="٦ اكتوبر الجيزه  "/>
    <x v="0"/>
    <s v="هومزمارت"/>
    <x v="0"/>
    <s v="سرير"/>
    <x v="1"/>
    <s v="دورين"/>
    <s v="كيفنج"/>
    <n v="120"/>
    <x v="3"/>
    <s v="رمادى"/>
    <m/>
    <s v="سرير كيفنج ١٢٠ رمادى "/>
    <x v="26"/>
    <s v="مسبق الدفع"/>
    <d v="2024-09-14T00:00:00"/>
    <d v="2024-09-27T00:00:00"/>
    <d v="2024-10-02T00:00:00"/>
    <s v="تم التسليم محمود على "/>
    <x v="0"/>
    <s v="تم التسليم"/>
  </r>
  <r>
    <n v="40"/>
    <n v="1423361"/>
    <n v="1207484"/>
    <x v="26"/>
    <x v="18"/>
    <s v="الشروق "/>
    <x v="0"/>
    <s v="هومزمارت"/>
    <x v="0"/>
    <s v="سرير"/>
    <x v="1"/>
    <s v="دورين"/>
    <s v="نوفال"/>
    <n v="90"/>
    <x v="5"/>
    <s v="أسود"/>
    <m/>
    <s v="سرير نوفال  ٩٠ أسود "/>
    <x v="27"/>
    <s v="مسبق الدفع"/>
    <d v="2024-09-12T00:00:00"/>
    <d v="2024-09-29T00:00:00"/>
    <m/>
    <m/>
    <x v="5"/>
    <m/>
  </r>
  <r>
    <n v="41"/>
    <n v="1415725"/>
    <n v="1204732"/>
    <x v="27"/>
    <x v="19"/>
    <s v="حدايق الاهرام "/>
    <x v="0"/>
    <s v="هومزمارت"/>
    <x v="0"/>
    <s v="سرير"/>
    <x v="1"/>
    <s v="دورين"/>
    <s v="كيفنج"/>
    <n v="100"/>
    <x v="5"/>
    <s v="أسود"/>
    <m/>
    <s v="            ٢ سرير كيفنج ١٠٠ أسود "/>
    <x v="28"/>
    <n v="10749"/>
    <d v="2024-09-12T00:00:00"/>
    <d v="2024-09-29T00:00:00"/>
    <d v="2024-10-02T00:00:00"/>
    <s v="تم التسليم محمود على "/>
    <x v="0"/>
    <s v="تم التسليم"/>
  </r>
  <r>
    <n v="42"/>
    <n v="1415726"/>
    <n v="1204732"/>
    <x v="27"/>
    <x v="19"/>
    <s v="حدايق الاهرام "/>
    <x v="0"/>
    <s v="هومزمارت"/>
    <x v="0"/>
    <s v="سرير"/>
    <x v="1"/>
    <s v="دورين"/>
    <s v="كيفنج"/>
    <n v="100"/>
    <x v="5"/>
    <s v="أسود"/>
    <m/>
    <s v="            ٢ سرير كيفنج ١٠٠ أسود "/>
    <x v="28"/>
    <n v="10749"/>
    <d v="2024-09-12T00:00:00"/>
    <d v="2024-09-29T00:00:00"/>
    <d v="2024-10-02T00:00:00"/>
    <s v="تم التسليم محمود على "/>
    <x v="0"/>
    <s v="تم التسليم"/>
  </r>
  <r>
    <n v="43"/>
    <n v="1499397"/>
    <n v="1228586"/>
    <x v="6"/>
    <x v="18"/>
    <s v="الشروق "/>
    <x v="0"/>
    <s v="هومزمارت"/>
    <x v="0"/>
    <s v="سرير"/>
    <x v="10"/>
    <s v="ثلاثه ادوار"/>
    <s v="كيفنج"/>
    <n v="80"/>
    <x v="4"/>
    <s v="أبيض"/>
    <m/>
    <s v="سرير ٣ ادوار أبيض مقاس ٨٠ أبيض "/>
    <x v="29"/>
    <s v="مسبق الدفع"/>
    <d v="2024-09-13T00:00:00"/>
    <d v="2024-09-30T00:00:00"/>
    <d v="2024-10-03T00:00:00"/>
    <s v="تم التسليم محمود على "/>
    <x v="0"/>
    <s v="تم التسليم"/>
  </r>
  <r>
    <n v="44"/>
    <n v="1458696"/>
    <n v="1217982"/>
    <x v="28"/>
    <x v="3"/>
    <s v="الغردقه "/>
    <x v="0"/>
    <s v="هومزمارت"/>
    <x v="0"/>
    <s v="سرير"/>
    <x v="1"/>
    <s v="دورين"/>
    <s v="كيفنج"/>
    <n v="80"/>
    <x v="4"/>
    <s v="أبيض"/>
    <m/>
    <s v="سرير كيفنج دورين مقاس ٨٠ أبيض "/>
    <x v="30"/>
    <s v="مسبق الدفع"/>
    <d v="2024-09-13T00:00:00"/>
    <d v="2024-09-30T00:00:00"/>
    <d v="2024-10-16T00:00:00"/>
    <s v="تم التسليم عن طريق شركه شحن "/>
    <x v="0"/>
    <s v="تم التسليم"/>
  </r>
  <r>
    <n v="45"/>
    <n v="1480814"/>
    <n v="1223964"/>
    <x v="29"/>
    <x v="20"/>
    <s v="لافيستا العين السخنه "/>
    <x v="0"/>
    <s v="هومزمارت"/>
    <x v="0"/>
    <s v="سرير"/>
    <x v="1"/>
    <s v="دورين"/>
    <s v="كيفنج"/>
    <n v="140"/>
    <x v="1"/>
    <s v="ازرق"/>
    <m/>
    <s v="سرير استيل ازرق مقاس ١٤٠"/>
    <x v="31"/>
    <s v="مسبق الدفع"/>
    <d v="2024-09-13T00:00:00"/>
    <d v="2024-09-30T00:00:00"/>
    <d v="2024-10-03T00:00:00"/>
    <s v="تم التسليم عن طريق شركه شحن "/>
    <x v="0"/>
    <s v="تم التسليم"/>
  </r>
  <r>
    <n v="46"/>
    <n v="1492471"/>
    <n v="1227052"/>
    <x v="30"/>
    <x v="6"/>
    <s v="٦ اكتوبر الجيزه  "/>
    <x v="0"/>
    <s v="هومزمارت"/>
    <x v="0"/>
    <s v="سرير"/>
    <x v="1"/>
    <s v="دورين"/>
    <s v="كينج"/>
    <n v="120"/>
    <x v="7"/>
    <s v="بنفسجى"/>
    <m/>
    <s v="سرير كينج ١٢٠ بنفسجى "/>
    <x v="32"/>
    <s v="مسبق الدفع"/>
    <d v="2024-09-13T00:00:00"/>
    <d v="2024-09-30T00:00:00"/>
    <d v="2024-10-20T00:00:00"/>
    <s v="تم التسليم محمود على "/>
    <x v="0"/>
    <s v="تم التسليم"/>
  </r>
  <r>
    <n v="47"/>
    <n v="1507912"/>
    <n v="1230527"/>
    <x v="31"/>
    <x v="11"/>
    <s v="القاهره الجديده "/>
    <x v="0"/>
    <s v="هومزمارت"/>
    <x v="2"/>
    <s v="كنبة "/>
    <x v="3"/>
    <s v="4×1"/>
    <m/>
    <m/>
    <x v="5"/>
    <s v="أسود"/>
    <s v="رمادى"/>
    <s v="كنبه سرير ٤ حركه "/>
    <x v="33"/>
    <s v="مسبق الدفع"/>
    <d v="2024-09-13T00:00:00"/>
    <d v="2024-09-30T00:00:00"/>
    <s v="تم التسليم عن طريق شركه شحن "/>
    <s v="تم التسليم محمود على "/>
    <x v="0"/>
    <s v="تم التسليم"/>
  </r>
  <r>
    <n v="48"/>
    <n v="1525747"/>
    <n v="1234936"/>
    <x v="32"/>
    <x v="6"/>
    <s v="٦ اكتوبر الجيزه  "/>
    <x v="0"/>
    <s v="هومزمارت"/>
    <x v="0"/>
    <s v="سرير"/>
    <x v="1"/>
    <s v="دورين"/>
    <s v="كيفنج"/>
    <n v="80"/>
    <x v="4"/>
    <s v="أبيض"/>
    <m/>
    <s v="سرير كيفنج دورين مقاس ٨٠ أبيض "/>
    <x v="30"/>
    <s v="مسبق الدفع"/>
    <d v="2024-09-13T00:00:00"/>
    <d v="2024-09-30T00:00:00"/>
    <d v="2024-10-15T00:00:00"/>
    <s v="تم التسليم محمود على "/>
    <x v="0"/>
    <s v="تم التسليم"/>
  </r>
  <r>
    <n v="49"/>
    <n v="1536313"/>
    <n v="1237601"/>
    <x v="33"/>
    <x v="12"/>
    <s v="المعادى"/>
    <x v="0"/>
    <s v="هومزمارت"/>
    <x v="0"/>
    <s v="سرير"/>
    <x v="10"/>
    <s v="ثلاثه ادوار"/>
    <s v="كيفنج"/>
    <n v="90"/>
    <x v="5"/>
    <s v="أسود"/>
    <m/>
    <s v="سرير ٣ ادوار أسود مقاس ٩٠ "/>
    <x v="34"/>
    <s v="مسبق الدفع"/>
    <d v="2024-09-13T00:00:00"/>
    <d v="2024-09-30T00:00:00"/>
    <d v="2024-10-04T00:00:00"/>
    <s v="تم التسليم محمود على "/>
    <x v="0"/>
    <s v="تم التسليم"/>
  </r>
  <r>
    <n v="50"/>
    <n v="1505609"/>
    <n v="1230031"/>
    <x v="34"/>
    <x v="21"/>
    <s v="فيصل الجيزه"/>
    <x v="0"/>
    <s v="هومزمارت"/>
    <x v="1"/>
    <s v="ترابيزه"/>
    <x v="7"/>
    <s v="2 ميكانزم"/>
    <m/>
    <m/>
    <x v="2"/>
    <m/>
    <m/>
    <s v="تربيزه قهوه ٢ رافع"/>
    <x v="22"/>
    <s v="مسبق الدفع"/>
    <d v="2024-09-14T00:00:00"/>
    <d v="2024-10-16T00:00:00"/>
    <d v="2024-10-21T00:00:00"/>
    <s v="تم التسليم محمود على "/>
    <x v="0"/>
    <s v="تم التسليم"/>
  </r>
  <r>
    <n v="51"/>
    <n v="1612229"/>
    <n v="1254076"/>
    <x v="35"/>
    <x v="9"/>
    <s v="المقطم "/>
    <x v="0"/>
    <s v="هومزمارت"/>
    <x v="1"/>
    <s v="ترابيزه"/>
    <x v="11"/>
    <s v="بمكتبة"/>
    <m/>
    <m/>
    <x v="2"/>
    <m/>
    <m/>
    <s v="ترابيزه قهوه متحركه "/>
    <x v="12"/>
    <s v="مسبق الدفع"/>
    <d v="2024-09-14T00:00:00"/>
    <d v="2024-10-29T00:00:00"/>
    <d v="2024-10-30T00:00:00"/>
    <s v="تم التسليم محمود على "/>
    <x v="0"/>
    <s v="تم التسليم"/>
  </r>
  <r>
    <n v="52"/>
    <n v="1673771"/>
    <n v="1269559"/>
    <x v="36"/>
    <x v="6"/>
    <s v="٦ اكتوبر الجيزه  "/>
    <x v="0"/>
    <s v="هومزمارت"/>
    <x v="0"/>
    <s v="سرير"/>
    <x v="0"/>
    <s v="منطبق"/>
    <m/>
    <m/>
    <x v="5"/>
    <s v="أسود"/>
    <s v="أسود"/>
    <s v="سرير منطبق أسود حديد ومعدن "/>
    <x v="21"/>
    <s v="مسبق الدفع "/>
    <d v="2024-09-14T00:00:00"/>
    <d v="2024-10-29T00:00:00"/>
    <d v="2024-10-15T00:00:00"/>
    <s v="تم التسليم محمود على "/>
    <x v="0"/>
    <s v="تم التسليم"/>
  </r>
  <r>
    <n v="53"/>
    <n v="1667352"/>
    <n v="1267819"/>
    <x v="37"/>
    <x v="22"/>
    <s v="الشيخ زايد ٦ اكتوبر "/>
    <x v="0"/>
    <s v="هومزمارت"/>
    <x v="0"/>
    <s v="سرير"/>
    <x v="4"/>
    <s v="فردى"/>
    <s v="اسبانى"/>
    <n v="140"/>
    <x v="5"/>
    <s v="أسود"/>
    <m/>
    <s v="سرير اسبانى  ١٤٠ أسود وبيج "/>
    <x v="35"/>
    <s v="مسبق الدفع "/>
    <d v="2024-09-14T00:00:00"/>
    <d v="2024-10-29T00:00:00"/>
    <d v="2024-10-15T00:00:00"/>
    <s v="تم التسليم محمود على "/>
    <x v="0"/>
    <s v="تم التسليم"/>
  </r>
  <r>
    <n v="54"/>
    <n v="1649781"/>
    <n v="1263160"/>
    <x v="38"/>
    <x v="18"/>
    <s v="الشروق "/>
    <x v="0"/>
    <s v="هومزمارت"/>
    <x v="1"/>
    <s v="ترابيزه"/>
    <x v="9"/>
    <s v="رف سحاب"/>
    <m/>
    <m/>
    <x v="2"/>
    <m/>
    <m/>
    <s v="تربيزه قهوه مرتفعه برف سحاب "/>
    <x v="22"/>
    <s v="مسبق الدفع "/>
    <d v="2024-09-14T00:00:00"/>
    <d v="2024-10-29T00:00:00"/>
    <d v="2024-10-19T00:00:00"/>
    <s v="تم التسليم محمود على "/>
    <x v="0"/>
    <s v="تم التسليم"/>
  </r>
  <r>
    <n v="55"/>
    <n v="1681476"/>
    <n v="1271813"/>
    <x v="39"/>
    <x v="23"/>
    <s v="الرحاب"/>
    <x v="0"/>
    <s v="هومزمارت"/>
    <x v="0"/>
    <s v="سرير"/>
    <x v="4"/>
    <s v="فردى"/>
    <s v="فورجينا"/>
    <n v="120"/>
    <x v="4"/>
    <s v="أبيض"/>
    <m/>
    <s v=" ٢. سرير فورجينا أبيض مقاس ١٢٠"/>
    <x v="36"/>
    <s v="مسبق الدفع "/>
    <d v="2024-09-14T00:00:00"/>
    <d v="2024-10-29T00:00:00"/>
    <m/>
    <m/>
    <x v="2"/>
    <s v="لاغي"/>
  </r>
  <r>
    <n v="56"/>
    <n v="1681477"/>
    <n v="1271813"/>
    <x v="39"/>
    <x v="23"/>
    <s v="الرحاب"/>
    <x v="0"/>
    <s v="هومزمارت"/>
    <x v="0"/>
    <s v="سرير"/>
    <x v="4"/>
    <s v="فردى"/>
    <s v="فورجينا"/>
    <n v="120"/>
    <x v="4"/>
    <s v="أبيض"/>
    <m/>
    <s v=" ٢. سرير فورجينا أبيض مقاس ١٢٠"/>
    <x v="36"/>
    <s v="مسبق الدفع "/>
    <d v="2024-09-14T00:00:00"/>
    <d v="2024-10-29T00:00:00"/>
    <m/>
    <m/>
    <x v="2"/>
    <s v="لاغي"/>
  </r>
  <r>
    <n v="57"/>
    <n v="1677530"/>
    <n v="1270704"/>
    <x v="40"/>
    <x v="11"/>
    <s v="القاهره الجديده"/>
    <x v="0"/>
    <s v="هومزمارت"/>
    <x v="0"/>
    <s v="سرير"/>
    <x v="4"/>
    <s v="فردى"/>
    <s v="اسبانى"/>
    <n v="120"/>
    <x v="4"/>
    <s v="أبيض"/>
    <m/>
    <s v="   ٢. سرير اسبانى أبيض ١٢٠"/>
    <x v="18"/>
    <s v="مسبق الدفع"/>
    <d v="2024-09-14T00:00:00"/>
    <d v="2024-10-29T00:00:00"/>
    <d v="2024-10-13T00:00:00"/>
    <s v="تم التسليم محمود على "/>
    <x v="0"/>
    <s v="تم التسليم"/>
  </r>
  <r>
    <n v="58"/>
    <n v="1677528"/>
    <n v="1270704"/>
    <x v="40"/>
    <x v="11"/>
    <s v="القاهره الجديده"/>
    <x v="0"/>
    <s v="هومزمارت"/>
    <x v="0"/>
    <s v="سرير"/>
    <x v="4"/>
    <s v="فردى"/>
    <s v="اسبانى"/>
    <n v="120"/>
    <x v="4"/>
    <s v="أبيض"/>
    <m/>
    <s v="   ٢. سرير اسبانى أبيض ١٢٠"/>
    <x v="18"/>
    <s v="مسبق الدفع"/>
    <d v="2024-09-14T00:00:00"/>
    <d v="2024-10-29T00:00:00"/>
    <d v="2024-10-13T00:00:00"/>
    <s v="تم التسليم محمود على "/>
    <x v="0"/>
    <s v="تم التسليم"/>
  </r>
  <r>
    <n v="59"/>
    <n v="1657744"/>
    <n v="1265268"/>
    <x v="41"/>
    <x v="24"/>
    <s v="العبور"/>
    <x v="0"/>
    <s v="هومزمارت"/>
    <x v="1"/>
    <s v="ترابيزه"/>
    <x v="7"/>
    <s v="2 ميكانزم"/>
    <m/>
    <m/>
    <x v="2"/>
    <m/>
    <m/>
    <s v="ترابيزه قهوه علويه جديده "/>
    <x v="37"/>
    <s v="مسبق الدفع"/>
    <d v="2024-09-14T00:00:00"/>
    <d v="2024-10-29T00:00:00"/>
    <d v="2024-10-19T00:00:00"/>
    <s v="تم التسليم محمود على "/>
    <x v="0"/>
    <s v="تم التسليم"/>
  </r>
  <r>
    <n v="60"/>
    <n v="1610613"/>
    <n v="1253646"/>
    <x v="42"/>
    <x v="25"/>
    <s v="اسيوط "/>
    <x v="0"/>
    <s v="هومزمارت"/>
    <x v="0"/>
    <s v="سرير"/>
    <x v="1"/>
    <s v="دورين"/>
    <s v="كيفنج"/>
    <n v="120"/>
    <x v="3"/>
    <s v="رمادى"/>
    <m/>
    <s v="سرير كيفنج دورين مقاس ١٢٠ رمادى "/>
    <x v="26"/>
    <s v="مسبق الدفع "/>
    <d v="2024-09-14T00:00:00"/>
    <d v="2024-11-20T00:00:00"/>
    <d v="2024-10-17T00:00:00"/>
    <s v="تم التسليم عن طريق شركه شحن "/>
    <x v="0"/>
    <s v="تم التسليم"/>
  </r>
  <r>
    <n v="61"/>
    <n v="1608468"/>
    <n v="1253172"/>
    <x v="43"/>
    <x v="3"/>
    <s v="الغردقه"/>
    <x v="0"/>
    <s v="هومزمارت"/>
    <x v="2"/>
    <s v="كنبة "/>
    <x v="3"/>
    <s v="4×1"/>
    <m/>
    <m/>
    <x v="5"/>
    <s v="أسود"/>
    <s v="رمادى"/>
    <s v="كنبه سرير ٤ حركه "/>
    <x v="33"/>
    <s v="مسبق الدفع"/>
    <d v="2024-09-14T00:00:00"/>
    <d v="2024-11-20T00:00:00"/>
    <m/>
    <m/>
    <x v="2"/>
    <s v="لاغي"/>
  </r>
  <r>
    <n v="62"/>
    <n v="1654554"/>
    <n v="1264469"/>
    <x v="44"/>
    <x v="18"/>
    <s v="الشروق "/>
    <x v="0"/>
    <s v="هومزمارت"/>
    <x v="0"/>
    <s v="سرير"/>
    <x v="1"/>
    <s v="دورين"/>
    <s v="نوفال"/>
    <n v="100"/>
    <x v="3"/>
    <s v="رمادى"/>
    <m/>
    <s v="سرير نوفال ١٠٠ رمادى "/>
    <x v="38"/>
    <s v="مسبق الدفع"/>
    <d v="2024-09-14T00:00:00"/>
    <d v="2024-11-20T00:00:00"/>
    <d v="2024-10-01T00:00:00"/>
    <s v="تم التسليم عن طريق شركه شحن "/>
    <x v="0"/>
    <s v="تم التسليم"/>
  </r>
  <r>
    <n v="63"/>
    <n v="1644504"/>
    <n v="1261644"/>
    <x v="45"/>
    <x v="11"/>
    <s v="القاهره الجديده"/>
    <x v="0"/>
    <s v="هومزمارت"/>
    <x v="2"/>
    <s v="كنبة "/>
    <x v="3"/>
    <s v="4×1"/>
    <m/>
    <m/>
    <x v="5"/>
    <s v="أسود"/>
    <s v="رمادى"/>
    <s v="كنبه سرير ٤ حركه "/>
    <x v="33"/>
    <s v="مسبق الدفع"/>
    <d v="2024-09-14T00:00:00"/>
    <d v="2024-11-20T00:00:00"/>
    <d v="2024-10-09T00:00:00"/>
    <s v="تم التسليم محمود على "/>
    <x v="0"/>
    <s v="تم التسليم "/>
  </r>
  <r>
    <n v="64"/>
    <n v="1655447"/>
    <n v="1264684"/>
    <x v="46"/>
    <x v="9"/>
    <s v="المقطم "/>
    <x v="0"/>
    <s v="هومزمارت"/>
    <x v="0"/>
    <s v="سرير"/>
    <x v="1"/>
    <s v="دورين"/>
    <s v="نوفال"/>
    <n v="80"/>
    <x v="4"/>
    <s v="أبيض"/>
    <m/>
    <s v="سرير نوفال مقاس ٨٠ أبيض "/>
    <x v="30"/>
    <s v="مسبق الدفع "/>
    <d v="2024-09-14T00:00:00"/>
    <d v="2024-11-20T00:00:00"/>
    <d v="2024-10-16T00:00:00"/>
    <s v="تم التسليم محمود على "/>
    <x v="0"/>
    <s v="تم التسليم "/>
  </r>
  <r>
    <n v="65"/>
    <n v="1679731"/>
    <n v="1271291"/>
    <x v="47"/>
    <x v="12"/>
    <s v="المعادى"/>
    <x v="0"/>
    <s v="هومزمارت"/>
    <x v="0"/>
    <s v="سرير"/>
    <x v="1"/>
    <s v="دورين"/>
    <s v="كيفنج"/>
    <n v="80"/>
    <x v="4"/>
    <s v="أبيض"/>
    <m/>
    <m/>
    <x v="30"/>
    <s v="مسبق الدفع "/>
    <s v="15/9/2024"/>
    <d v="2024-11-20T00:00:00"/>
    <d v="2024-10-16T00:00:00"/>
    <s v="تم التسليم محمود على "/>
    <x v="0"/>
    <s v="تم التسليم "/>
  </r>
  <r>
    <n v="66"/>
    <n v="1679739"/>
    <n v="1271291"/>
    <x v="47"/>
    <x v="12"/>
    <s v="المعادى"/>
    <x v="0"/>
    <s v="هومزمارت"/>
    <x v="0"/>
    <s v="سرير"/>
    <x v="1"/>
    <s v="دورين"/>
    <s v="كيفنج"/>
    <n v="80"/>
    <x v="4"/>
    <s v="أبيض"/>
    <m/>
    <m/>
    <x v="30"/>
    <s v="مسبق الدفع "/>
    <s v="15/9/2024"/>
    <d v="2024-11-20T00:00:00"/>
    <d v="2024-10-16T00:00:00"/>
    <s v="تم التسليم محمود على "/>
    <x v="0"/>
    <s v="تم التسليم "/>
  </r>
  <r>
    <n v="67"/>
    <n v="1670668"/>
    <n v="1268695"/>
    <x v="48"/>
    <x v="26"/>
    <s v="Madinet Badr"/>
    <x v="0"/>
    <s v="هومزمارت"/>
    <x v="2"/>
    <s v="كنبة "/>
    <x v="3"/>
    <s v="4×1"/>
    <m/>
    <m/>
    <x v="5"/>
    <s v="أسود"/>
    <s v="رمادى"/>
    <m/>
    <x v="33"/>
    <s v="مسبق الدفع "/>
    <s v="15/9/2024"/>
    <d v="2024-11-20T00:00:00"/>
    <d v="2024-10-19T00:00:00"/>
    <s v="تم التسليم محمود على "/>
    <x v="0"/>
    <s v="تم التسليم "/>
  </r>
  <r>
    <n v="68"/>
    <n v="1416625"/>
    <n v="1205197"/>
    <x v="49"/>
    <x v="14"/>
    <s v="العين السخنه"/>
    <x v="0"/>
    <s v="هومزمارت"/>
    <x v="1"/>
    <s v="ترابيزه"/>
    <x v="7"/>
    <s v="2 ميكانزم"/>
    <m/>
    <m/>
    <x v="2"/>
    <m/>
    <m/>
    <m/>
    <x v="12"/>
    <n v="6306"/>
    <s v="16/9/2024"/>
    <d v="2024-10-30T00:00:00"/>
    <d v="2024-11-14T00:00:00"/>
    <s v="تم التسليم عن طريق شركه شحن "/>
    <x v="0"/>
    <s v="تم التسليم"/>
  </r>
  <r>
    <n v="69"/>
    <m/>
    <m/>
    <x v="17"/>
    <x v="27"/>
    <s v="المخزن ابو الغيط "/>
    <x v="4"/>
    <s v="اوسكار ريتن "/>
    <x v="0"/>
    <s v="سرير"/>
    <x v="1"/>
    <s v="دورين"/>
    <s v="كيفنج"/>
    <n v="80"/>
    <x v="4"/>
    <s v="أبيض"/>
    <m/>
    <m/>
    <x v="39"/>
    <s v="حساب شركه"/>
    <d v="2024-09-21T00:00:00"/>
    <d v="2024-10-05T00:00:00"/>
    <d v="2024-10-12T00:00:00"/>
    <s v="تم التسليم محمود على "/>
    <x v="0"/>
    <s v="تم التسليم "/>
  </r>
  <r>
    <n v="70"/>
    <n v="2514"/>
    <n v="2514"/>
    <x v="8"/>
    <x v="7"/>
    <s v="العباسيه"/>
    <x v="3"/>
    <s v="تاكى"/>
    <x v="0"/>
    <s v="سرير"/>
    <x v="1"/>
    <s v="دورين"/>
    <s v="كينج"/>
    <n v="100"/>
    <x v="8"/>
    <s v="أسود وبنى"/>
    <m/>
    <m/>
    <x v="40"/>
    <s v="حساب شركه"/>
    <d v="2024-09-23T00:00:00"/>
    <d v="2024-10-08T00:00:00"/>
    <d v="2024-10-17T00:00:00"/>
    <s v="تم التسليم محمود على "/>
    <x v="0"/>
    <s v="تم التسليم "/>
  </r>
  <r>
    <n v="71"/>
    <n v="2514"/>
    <n v="2514"/>
    <x v="8"/>
    <x v="7"/>
    <s v="العباسيه"/>
    <x v="3"/>
    <s v="تاكى"/>
    <x v="0"/>
    <s v="سرير"/>
    <x v="1"/>
    <s v="دورين"/>
    <s v="كينج"/>
    <n v="100"/>
    <x v="8"/>
    <s v="أسود وبنى"/>
    <m/>
    <m/>
    <x v="40"/>
    <s v="حساب شركه"/>
    <d v="2024-09-23T00:00:00"/>
    <d v="2024-10-08T00:00:00"/>
    <d v="2024-10-17T00:00:00"/>
    <s v="تم التسليم محمود على "/>
    <x v="0"/>
    <s v="تم التسليم "/>
  </r>
  <r>
    <n v="72"/>
    <n v="1706794"/>
    <n v="1281428"/>
    <x v="50"/>
    <x v="7"/>
    <s v="العباسيه"/>
    <x v="0"/>
    <s v="هومزمارت"/>
    <x v="0"/>
    <s v="سرير"/>
    <x v="4"/>
    <s v="فردى"/>
    <s v="فورجينا"/>
    <n v="120"/>
    <x v="4"/>
    <s v="أبيض"/>
    <m/>
    <m/>
    <x v="41"/>
    <n v="9033"/>
    <d v="2024-09-26T00:00:00"/>
    <d v="2024-11-10T00:00:00"/>
    <d v="2024-10-10T00:00:00"/>
    <s v="تم التسليم محمود على "/>
    <x v="0"/>
    <s v="تم التسليم "/>
  </r>
  <r>
    <n v="73"/>
    <n v="1704621"/>
    <n v="1280197"/>
    <x v="51"/>
    <x v="6"/>
    <s v="٦ اكتوبر الجيزه  "/>
    <x v="0"/>
    <s v="هومزمارت"/>
    <x v="1"/>
    <s v="ترابيزه"/>
    <x v="9"/>
    <s v="رف سحاب"/>
    <m/>
    <m/>
    <x v="2"/>
    <m/>
    <m/>
    <m/>
    <x v="22"/>
    <n v="8433"/>
    <d v="2024-09-26T00:00:00"/>
    <d v="2024-11-10T00:00:00"/>
    <m/>
    <m/>
    <x v="2"/>
    <s v="لاغي"/>
  </r>
  <r>
    <n v="74"/>
    <n v="240078066"/>
    <m/>
    <x v="5"/>
    <x v="5"/>
    <s v="التجمع الخامس "/>
    <x v="1"/>
    <s v="شيك هومز"/>
    <x v="2"/>
    <s v="كنبة "/>
    <x v="3"/>
    <s v="4×1"/>
    <m/>
    <m/>
    <x v="2"/>
    <m/>
    <s v="نبيتى "/>
    <m/>
    <x v="42"/>
    <s v="مسبق الدفع"/>
    <d v="2024-09-26T00:00:00"/>
    <s v="14×10/2024"/>
    <d v="2024-10-13T00:00:00"/>
    <s v="تم التسليم محمود على "/>
    <x v="0"/>
    <s v="تم التسليم"/>
  </r>
  <r>
    <n v="75"/>
    <n v="240077789"/>
    <m/>
    <x v="5"/>
    <x v="4"/>
    <m/>
    <x v="1"/>
    <s v="شيك هومز"/>
    <x v="0"/>
    <s v="سرير"/>
    <x v="1"/>
    <s v="دورين"/>
    <s v="كينج"/>
    <n v="100"/>
    <x v="5"/>
    <s v="أسود "/>
    <m/>
    <m/>
    <x v="19"/>
    <n v="9608"/>
    <d v="2024-09-26T00:00:00"/>
    <d v="2024-10-14T00:00:00"/>
    <m/>
    <m/>
    <x v="2"/>
    <s v="لاغي"/>
  </r>
  <r>
    <n v="76"/>
    <n v="240078390"/>
    <m/>
    <x v="5"/>
    <x v="4"/>
    <m/>
    <x v="1"/>
    <s v="شيك هومز"/>
    <x v="0"/>
    <s v="سرير"/>
    <x v="4"/>
    <s v="فردى"/>
    <s v="اسبانى"/>
    <n v="120"/>
    <x v="4"/>
    <s v="أبيض"/>
    <m/>
    <m/>
    <x v="43"/>
    <s v="مسبق الدفع"/>
    <d v="2024-09-29T00:00:00"/>
    <d v="2024-10-20T00:00:00"/>
    <d v="2024-10-21T00:00:00"/>
    <s v="تم التسليم محمود على "/>
    <x v="0"/>
    <s v="تم التسليم"/>
  </r>
  <r>
    <n v="77"/>
    <m/>
    <m/>
    <x v="17"/>
    <x v="27"/>
    <s v="المخزن ابو الغيط "/>
    <x v="4"/>
    <s v="اوسكار ريتن "/>
    <x v="0"/>
    <s v="سرير"/>
    <x v="4"/>
    <s v="فردى"/>
    <s v="فورجينا"/>
    <n v="120"/>
    <x v="4"/>
    <s v="أبيض"/>
    <m/>
    <m/>
    <x v="20"/>
    <s v="حساب شركه"/>
    <d v="2024-09-29T00:00:00"/>
    <d v="2024-10-12T00:00:00"/>
    <d v="2024-10-12T00:00:00"/>
    <s v="تم التسليم محمود على "/>
    <x v="0"/>
    <s v="تم التسليم "/>
  </r>
  <r>
    <n v="78"/>
    <m/>
    <m/>
    <x v="52"/>
    <x v="28"/>
    <s v="السويس "/>
    <x v="5"/>
    <s v="السويس"/>
    <x v="0"/>
    <s v="سرير"/>
    <x v="1"/>
    <s v="دورين"/>
    <s v="فانتاستك"/>
    <n v="100"/>
    <x v="9"/>
    <s v="ملون"/>
    <m/>
    <m/>
    <x v="44"/>
    <m/>
    <d v="2024-10-01T00:00:00"/>
    <d v="2024-10-09T00:00:00"/>
    <d v="2024-10-09T00:00:00"/>
    <s v="تم التسليم بمعرفه الحج سيد "/>
    <x v="0"/>
    <s v="تم التسليم"/>
  </r>
  <r>
    <n v="79"/>
    <m/>
    <m/>
    <x v="52"/>
    <x v="28"/>
    <s v="السويس "/>
    <x v="5"/>
    <s v="السويس"/>
    <x v="0"/>
    <s v="سرير"/>
    <x v="0"/>
    <s v="منطبق"/>
    <m/>
    <m/>
    <x v="5"/>
    <s v="أسود"/>
    <s v="بيج"/>
    <m/>
    <x v="45"/>
    <m/>
    <d v="2024-10-01T00:00:00"/>
    <d v="2024-10-09T00:00:00"/>
    <d v="2024-10-09T00:00:00"/>
    <s v="تم التسليم بمعرفه الحج سيد "/>
    <x v="0"/>
    <s v="تم التسليم"/>
  </r>
  <r>
    <n v="80"/>
    <m/>
    <m/>
    <x v="52"/>
    <x v="28"/>
    <s v="السويس "/>
    <x v="5"/>
    <s v="السويس"/>
    <x v="2"/>
    <s v="كنبة "/>
    <x v="8"/>
    <s v="فنيسيا"/>
    <m/>
    <m/>
    <x v="5"/>
    <s v="أسود"/>
    <s v="رصاصي مشجر"/>
    <m/>
    <x v="46"/>
    <m/>
    <d v="2024-10-01T00:00:00"/>
    <d v="2024-10-09T00:00:00"/>
    <d v="2024-10-09T00:00:00"/>
    <s v="تم التسليم بمعرفه الحج سيد "/>
    <x v="0"/>
    <s v="تم التسليم"/>
  </r>
  <r>
    <n v="81"/>
    <m/>
    <m/>
    <x v="52"/>
    <x v="28"/>
    <s v="السويس "/>
    <x v="5"/>
    <s v="السويس"/>
    <x v="5"/>
    <s v="شيزلونج"/>
    <x v="2"/>
    <m/>
    <m/>
    <m/>
    <x v="5"/>
    <s v="أسود"/>
    <s v="نبيتى "/>
    <m/>
    <x v="47"/>
    <m/>
    <d v="2024-10-01T00:00:00"/>
    <d v="2024-10-09T00:00:00"/>
    <d v="2024-10-09T00:00:00"/>
    <s v="تم التسليم بمعرفه الحج سيد "/>
    <x v="0"/>
    <s v="تم التسليم"/>
  </r>
  <r>
    <n v="82"/>
    <n v="1282228"/>
    <n v="1708226"/>
    <x v="53"/>
    <x v="29"/>
    <s v="الزمالك"/>
    <x v="0"/>
    <s v="هومزمارت"/>
    <x v="0"/>
    <s v="سرير"/>
    <x v="0"/>
    <s v="منطبق"/>
    <m/>
    <m/>
    <x v="5"/>
    <s v="أسود"/>
    <s v="أسود"/>
    <m/>
    <x v="48"/>
    <n v="8988"/>
    <d v="2024-10-03T00:00:00"/>
    <d v="2024-11-17T00:00:00"/>
    <m/>
    <m/>
    <x v="5"/>
    <m/>
  </r>
  <r>
    <n v="83"/>
    <n v="240079328"/>
    <m/>
    <x v="5"/>
    <x v="30"/>
    <s v="مخزن شيك هومز"/>
    <x v="1"/>
    <s v="شيك هومز "/>
    <x v="2"/>
    <s v="كنبة "/>
    <x v="3"/>
    <s v="4×1"/>
    <m/>
    <m/>
    <x v="5"/>
    <s v="أسود "/>
    <s v="بترولى "/>
    <m/>
    <x v="4"/>
    <s v="مسبق الدفع"/>
    <d v="2024-10-08T00:00:00"/>
    <d v="2024-10-29T00:00:00"/>
    <d v="2024-10-30T00:00:00"/>
    <s v="تم التسليم محمود على "/>
    <x v="0"/>
    <s v="تم التسليم"/>
  </r>
  <r>
    <n v="84"/>
    <n v="240078933"/>
    <m/>
    <x v="5"/>
    <x v="6"/>
    <s v="٦ اكتوبر الجيزه  "/>
    <x v="1"/>
    <s v="شيك هومز"/>
    <x v="2"/>
    <s v="كنبة "/>
    <x v="3"/>
    <s v="4×1"/>
    <m/>
    <m/>
    <x v="5"/>
    <s v="أسود "/>
    <s v="بترولى "/>
    <m/>
    <x v="4"/>
    <s v="مسبق الدفع"/>
    <d v="2024-10-07T00:00:00"/>
    <d v="2024-10-29T00:00:00"/>
    <d v="2024-10-15T00:00:00"/>
    <s v="تم التسليم محمود على "/>
    <x v="0"/>
    <s v="تم التسليم"/>
  </r>
  <r>
    <n v="85"/>
    <s v="24×17"/>
    <m/>
    <x v="5"/>
    <x v="4"/>
    <m/>
    <x v="1"/>
    <s v="شيك هومز "/>
    <x v="2"/>
    <s v="كنبة "/>
    <x v="3"/>
    <s v="4×1"/>
    <m/>
    <m/>
    <x v="5"/>
    <s v="أسود "/>
    <s v="نبيتى "/>
    <m/>
    <x v="4"/>
    <n v="11495"/>
    <d v="2024-10-10T00:00:00"/>
    <d v="2024-10-31T00:00:00"/>
    <d v="2024-11-02T00:00:00"/>
    <s v="تم التسليم محمود على "/>
    <x v="0"/>
    <s v="تم التسليم"/>
  </r>
  <r>
    <n v="86"/>
    <n v="1714623"/>
    <n v="1284697"/>
    <x v="54"/>
    <x v="11"/>
    <s v="القاهره الجديده "/>
    <x v="0"/>
    <s v="هومزمارت"/>
    <x v="0"/>
    <s v="سرير"/>
    <x v="1"/>
    <s v="دورين"/>
    <s v="نوفال "/>
    <s v="100/140"/>
    <x v="10"/>
    <s v="بينك"/>
    <m/>
    <m/>
    <x v="49"/>
    <n v="13028"/>
    <d v="2024-10-13T00:00:00"/>
    <d v="2024-12-17T00:00:00"/>
    <d v="2024-11-02T00:00:00"/>
    <s v="تم التسليم محمود على "/>
    <x v="0"/>
    <s v="تم التسليم"/>
  </r>
  <r>
    <n v="87"/>
    <n v="1715473"/>
    <n v="1285152"/>
    <x v="55"/>
    <x v="8"/>
    <s v="مصر الجديده"/>
    <x v="0"/>
    <s v="هومزمارت"/>
    <x v="0"/>
    <s v="سرير"/>
    <x v="1"/>
    <s v="دورين"/>
    <s v="كيفنج"/>
    <n v="80"/>
    <x v="4"/>
    <s v="أبيض"/>
    <m/>
    <m/>
    <x v="10"/>
    <s v="مسبق الدفع"/>
    <d v="2024-10-16T00:00:00"/>
    <d v="2024-12-19T00:00:00"/>
    <d v="2024-10-21T00:00:00"/>
    <s v="تم التسليم محمود على "/>
    <x v="0"/>
    <s v="تم التسليم"/>
  </r>
  <r>
    <n v="89"/>
    <n v="1715992"/>
    <n v="1285423"/>
    <x v="56"/>
    <x v="31"/>
    <s v="البطاش اسكندريه"/>
    <x v="0"/>
    <s v="هومزمارت"/>
    <x v="0"/>
    <s v="سرير"/>
    <x v="1"/>
    <s v="دورين"/>
    <s v="نوفال"/>
    <s v="100/140"/>
    <x v="10"/>
    <s v="بينك"/>
    <m/>
    <m/>
    <x v="49"/>
    <s v="مسبق الدفع"/>
    <d v="2024-10-17T00:00:00"/>
    <d v="2024-12-22T00:00:00"/>
    <d v="2024-12-03T00:00:00"/>
    <s v="تم التسليم عن طريق شركه شحن "/>
    <x v="0"/>
    <s v="تم التسليم "/>
  </r>
  <r>
    <n v="90"/>
    <s v="s03163"/>
    <m/>
    <x v="57"/>
    <x v="32"/>
    <s v="41 كومبوند جولدن جستس الدور 4 شقه 4"/>
    <x v="6"/>
    <s v="منزلى "/>
    <x v="0"/>
    <s v="سرير"/>
    <x v="4"/>
    <s v="فردى"/>
    <s v="بلحه"/>
    <n v="140"/>
    <x v="11"/>
    <s v="نبيتى "/>
    <s v="خشب بنى فاتح"/>
    <m/>
    <x v="50"/>
    <s v="مسبق الدفع"/>
    <d v="2024-10-20T00:00:00"/>
    <d v="2024-11-17T00:00:00"/>
    <d v="2024-11-14T00:00:00"/>
    <s v="تم التسليم محمود على "/>
    <x v="0"/>
    <s v="تم التسليم"/>
  </r>
  <r>
    <n v="91"/>
    <n v="240080607"/>
    <m/>
    <x v="5"/>
    <x v="6"/>
    <s v="٦ اكتوبر الجيزه  "/>
    <x v="1"/>
    <s v="شيك هومز"/>
    <x v="0"/>
    <s v="سرير"/>
    <x v="1"/>
    <s v="دورين"/>
    <s v="فانتستيك"/>
    <n v="100"/>
    <x v="12"/>
    <s v="الوان"/>
    <m/>
    <m/>
    <x v="51"/>
    <n v="11277.5"/>
    <d v="2024-10-22T00:00:00"/>
    <d v="2024-11-12T00:00:00"/>
    <d v="2024-11-18T00:00:00"/>
    <s v="تم التسليم محمود على "/>
    <x v="0"/>
    <s v="تم التسليم"/>
  </r>
  <r>
    <n v="92"/>
    <n v="240080607"/>
    <m/>
    <x v="5"/>
    <x v="6"/>
    <s v="٦ اكتوبر الجيزه  "/>
    <x v="1"/>
    <s v="شيك هومز"/>
    <x v="0"/>
    <s v="سرير"/>
    <x v="1"/>
    <s v="دورين"/>
    <s v="فانتستيك"/>
    <n v="100"/>
    <x v="12"/>
    <s v="الوان"/>
    <m/>
    <m/>
    <x v="51"/>
    <n v="11277.5"/>
    <d v="2024-10-22T00:00:00"/>
    <d v="2024-11-12T00:00:00"/>
    <d v="2024-11-18T00:00:00"/>
    <s v="تم التسليم محمود على "/>
    <x v="0"/>
    <s v="تم التسليم"/>
  </r>
  <r>
    <n v="93"/>
    <m/>
    <m/>
    <x v="17"/>
    <x v="10"/>
    <s v="مدينه نصر "/>
    <x v="4"/>
    <s v="اوسكار ريتن "/>
    <x v="0"/>
    <s v="سرير"/>
    <x v="1"/>
    <s v="دورين"/>
    <s v="فانتستيك"/>
    <n v="100"/>
    <x v="12"/>
    <s v="الوان"/>
    <m/>
    <m/>
    <x v="52"/>
    <s v="حساب شركه"/>
    <d v="2024-10-22T00:00:00"/>
    <s v="اقرب وقت "/>
    <m/>
    <m/>
    <x v="6"/>
    <s v="مرفوض "/>
  </r>
  <r>
    <n v="94"/>
    <n v="1717458"/>
    <n v="1286189"/>
    <x v="58"/>
    <x v="6"/>
    <s v="٦ اكتوبر الجيزه  "/>
    <x v="0"/>
    <s v="هومزمارت"/>
    <x v="0"/>
    <s v="سرير"/>
    <x v="4"/>
    <s v="فردى"/>
    <s v="فورجينا"/>
    <n v="120"/>
    <x v="4"/>
    <s v="أبيض"/>
    <m/>
    <m/>
    <x v="41"/>
    <n v="9007.01"/>
    <d v="2024-10-21T00:00:00"/>
    <d v="2024-11-14T00:00:00"/>
    <d v="2024-11-18T00:00:00"/>
    <s v="تم التسليم محمود على "/>
    <x v="0"/>
    <s v="تم التسليم"/>
  </r>
  <r>
    <n v="95"/>
    <n v="240080858"/>
    <m/>
    <x v="5"/>
    <x v="4"/>
    <m/>
    <x v="1"/>
    <s v="شيك هومز"/>
    <x v="2"/>
    <s v="كنبة "/>
    <x v="3"/>
    <s v="4×1"/>
    <m/>
    <m/>
    <x v="5"/>
    <s v="أسود"/>
    <m/>
    <m/>
    <x v="53"/>
    <s v="مسبق الدفع"/>
    <s v="24×10/2024"/>
    <s v="14×11/2024"/>
    <d v="2024-10-30T00:00:00"/>
    <s v="تم التسليم محمود على "/>
    <x v="0"/>
    <s v="تم التسليم"/>
  </r>
  <r>
    <n v="96"/>
    <n v="240081061"/>
    <m/>
    <x v="5"/>
    <x v="4"/>
    <m/>
    <x v="1"/>
    <s v="شيك هومز"/>
    <x v="0"/>
    <s v="سرير"/>
    <x v="1"/>
    <s v="دورين"/>
    <s v="كينج"/>
    <n v="100"/>
    <x v="5"/>
    <s v="أسود"/>
    <m/>
    <m/>
    <x v="54"/>
    <n v="8879"/>
    <d v="2024-10-26T00:00:00"/>
    <d v="2024-11-16T00:00:00"/>
    <m/>
    <m/>
    <x v="2"/>
    <s v="لاغي"/>
  </r>
  <r>
    <n v="97"/>
    <n v="1718948"/>
    <n v="1286883"/>
    <x v="40"/>
    <x v="22"/>
    <s v="الشيخ زايد ٦ اكتوبر "/>
    <x v="0"/>
    <s v="هومزمارت"/>
    <x v="0"/>
    <s v="سرير"/>
    <x v="1"/>
    <s v="دورين"/>
    <s v="كينج"/>
    <n v="90"/>
    <x v="5"/>
    <s v="أسود"/>
    <m/>
    <m/>
    <x v="55"/>
    <n v="11749"/>
    <d v="2024-10-26T00:00:00"/>
    <d v="2024-11-10T00:00:00"/>
    <d v="2024-11-18T00:00:00"/>
    <s v="تم التسليم محمود على "/>
    <x v="0"/>
    <s v="تم التسليم"/>
  </r>
  <r>
    <n v="98"/>
    <n v="1718949"/>
    <n v="1286883"/>
    <x v="40"/>
    <x v="22"/>
    <s v="الشيخ زايد ٦ اكتوبر "/>
    <x v="0"/>
    <s v="هومزمارت"/>
    <x v="0"/>
    <s v="سرير"/>
    <x v="1"/>
    <s v="دورين"/>
    <s v="كينج"/>
    <n v="90"/>
    <x v="5"/>
    <s v="أسود"/>
    <m/>
    <m/>
    <x v="55"/>
    <n v="11749"/>
    <d v="2024-10-26T00:00:00"/>
    <d v="2024-11-10T00:00:00"/>
    <d v="2024-11-18T00:00:00"/>
    <s v="تم التسليم محمود على "/>
    <x v="0"/>
    <s v="تم التسليم"/>
  </r>
  <r>
    <n v="99"/>
    <m/>
    <m/>
    <x v="59"/>
    <x v="12"/>
    <s v="المعادى"/>
    <x v="0"/>
    <s v="هومزمارت"/>
    <x v="0"/>
    <s v="سرير"/>
    <x v="4"/>
    <s v="فردى"/>
    <s v="اسبانى"/>
    <n v="100"/>
    <x v="4"/>
    <s v="أبيض"/>
    <m/>
    <m/>
    <x v="56"/>
    <n v="4800"/>
    <d v="2024-10-28T00:00:00"/>
    <d v="2024-11-11T00:00:00"/>
    <d v="2024-11-21T00:00:00"/>
    <s v="تم التسليم محمود على "/>
    <x v="0"/>
    <s v="تم التسليم"/>
  </r>
  <r>
    <n v="100"/>
    <m/>
    <m/>
    <x v="59"/>
    <x v="12"/>
    <s v="المعادى"/>
    <x v="0"/>
    <s v="هومزمارت"/>
    <x v="0"/>
    <s v="سرير"/>
    <x v="4"/>
    <s v="فردى"/>
    <s v="اسبانى"/>
    <n v="120"/>
    <x v="4"/>
    <s v="أبيض"/>
    <m/>
    <m/>
    <x v="57"/>
    <n v="4800"/>
    <d v="2024-10-28T00:00:00"/>
    <d v="2024-11-11T00:00:00"/>
    <d v="2024-11-21T00:00:00"/>
    <s v="تم التسليم محمود على "/>
    <x v="0"/>
    <s v="تم التسليم"/>
  </r>
  <r>
    <n v="101"/>
    <n v="1744766"/>
    <n v="1298738"/>
    <x v="60"/>
    <x v="33"/>
    <s v="مدينتى"/>
    <x v="0"/>
    <s v="هومزمارت"/>
    <x v="0"/>
    <s v="سرير"/>
    <x v="1"/>
    <s v="دورين"/>
    <s v="كيفنج"/>
    <n v="80"/>
    <x v="4"/>
    <s v="أبيض"/>
    <m/>
    <m/>
    <x v="58"/>
    <s v="مسبق الدفع"/>
    <d v="2024-11-11T00:00:00"/>
    <d v="2024-11-26T00:00:00"/>
    <d v="2024-11-27T00:00:00"/>
    <s v="تم التسليم محمود على "/>
    <x v="0"/>
    <s v="تم التسليم"/>
  </r>
  <r>
    <n v="102"/>
    <n v="240082226"/>
    <m/>
    <x v="61"/>
    <x v="30"/>
    <s v="مخزن شيك هومز"/>
    <x v="1"/>
    <s v="شيك هومز"/>
    <x v="2"/>
    <s v="كنبة "/>
    <x v="3"/>
    <s v="4×1"/>
    <s v="ارينا"/>
    <m/>
    <x v="5"/>
    <s v="أسود "/>
    <s v="بترولى"/>
    <m/>
    <x v="59"/>
    <s v="مسبق"/>
    <d v="2024-11-08T00:00:00"/>
    <s v="3/12/204"/>
    <s v="14×11/2024"/>
    <s v="تم التسليم محمود على "/>
    <x v="0"/>
    <s v="تم التسليم"/>
  </r>
  <r>
    <n v="103"/>
    <s v="so3290"/>
    <m/>
    <x v="62"/>
    <x v="5"/>
    <s v="التجمع الخامس"/>
    <x v="6"/>
    <s v="منزلى"/>
    <x v="0"/>
    <s v="سرير"/>
    <x v="4"/>
    <s v="فردى"/>
    <s v="فورجينا"/>
    <n v="120"/>
    <x v="4"/>
    <s v="أبيض"/>
    <m/>
    <m/>
    <x v="60"/>
    <s v="حساب شركه"/>
    <d v="2024-11-10T00:00:00"/>
    <d v="2024-11-22T00:00:00"/>
    <d v="2024-11-21T00:00:00"/>
    <s v="تم التسليم محمود على "/>
    <x v="0"/>
    <s v="تم التسليم"/>
  </r>
  <r>
    <n v="104"/>
    <s v="s_6725"/>
    <m/>
    <x v="17"/>
    <x v="27"/>
    <s v="المخزن ابو الغيط "/>
    <x v="4"/>
    <s v="اوسكار ريتن "/>
    <x v="0"/>
    <s v="سرير"/>
    <x v="1"/>
    <s v="دورين"/>
    <s v="كينج"/>
    <n v="90"/>
    <x v="5"/>
    <s v="أسود"/>
    <m/>
    <m/>
    <x v="61"/>
    <s v="حساب شركه"/>
    <d v="2024-11-12T00:00:00"/>
    <d v="2024-11-26T00:00:00"/>
    <d v="2024-11-25T00:00:00"/>
    <s v="تم التسليم محمود على "/>
    <x v="0"/>
    <s v="تم التسليم"/>
  </r>
  <r>
    <n v="105"/>
    <n v="1752544"/>
    <n v="1302011"/>
    <x v="63"/>
    <x v="12"/>
    <s v="المعادى"/>
    <x v="0"/>
    <s v="هومزمارت"/>
    <x v="0"/>
    <s v="سرير"/>
    <x v="4"/>
    <s v="فردى"/>
    <s v="فورجينا"/>
    <n v="160"/>
    <x v="7"/>
    <s v="بنفسجى"/>
    <m/>
    <m/>
    <x v="62"/>
    <s v="مسبق الدفع"/>
    <d v="2024-11-12T00:00:00"/>
    <d v="2024-11-24T00:00:00"/>
    <d v="2024-11-27T00:00:00"/>
    <s v="تم التسليم محمود على "/>
    <x v="0"/>
    <s v="تم التسليم"/>
  </r>
  <r>
    <n v="106"/>
    <n v="1755075"/>
    <n v="1303159"/>
    <x v="64"/>
    <x v="5"/>
    <s v="التجمع الخامس"/>
    <x v="0"/>
    <s v="هومزمارت"/>
    <x v="0"/>
    <s v="سرير"/>
    <x v="1"/>
    <s v="دورين"/>
    <s v="كينج "/>
    <n v="80"/>
    <x v="4"/>
    <s v="أبيض"/>
    <m/>
    <m/>
    <x v="63"/>
    <s v="مسبق الدفع"/>
    <d v="2024-11-14T00:00:00"/>
    <d v="2024-11-30T00:00:00"/>
    <d v="2024-11-27T00:00:00"/>
    <s v="تم التسليم محمود على "/>
    <x v="0"/>
    <s v="تم التسليم"/>
  </r>
  <r>
    <n v="107"/>
    <s v="s_6806"/>
    <m/>
    <x v="17"/>
    <x v="27"/>
    <s v="المخزن ابو الغيط "/>
    <x v="4"/>
    <s v="اوسكار ريتن "/>
    <x v="0"/>
    <s v="سرير "/>
    <x v="1"/>
    <s v="دورين"/>
    <s v="نوفال"/>
    <n v="120"/>
    <x v="3"/>
    <s v="رمادى"/>
    <m/>
    <m/>
    <x v="64"/>
    <s v="حساب شركه"/>
    <d v="2024-11-14T00:00:00"/>
    <d v="2024-11-27T00:00:00"/>
    <d v="2024-11-25T00:00:00"/>
    <s v="تم التسليم محمود على "/>
    <x v="0"/>
    <s v="تم التسليم"/>
  </r>
  <r>
    <n v="108"/>
    <s v="s-6626"/>
    <m/>
    <x v="17"/>
    <x v="27"/>
    <s v="المخزن ابو الغيط "/>
    <x v="4"/>
    <s v="اوسكار ريتن "/>
    <x v="0"/>
    <s v="سرير"/>
    <x v="1"/>
    <s v="دورين "/>
    <s v="نوفال"/>
    <n v="90"/>
    <x v="5"/>
    <s v="أسود"/>
    <m/>
    <m/>
    <x v="65"/>
    <s v="حساب شركه"/>
    <d v="2024-11-14T00:00:00"/>
    <d v="2024-11-27T00:00:00"/>
    <d v="2024-11-25T00:00:00"/>
    <s v="تم التسليم محمود على "/>
    <x v="0"/>
    <s v="تم التسليم"/>
  </r>
  <r>
    <n v="109"/>
    <n v="265453625"/>
    <m/>
    <x v="65"/>
    <x v="6"/>
    <s v="٦ اكتوبر الجيزه  "/>
    <x v="7"/>
    <s v="كيمت "/>
    <x v="0"/>
    <s v="سرير "/>
    <x v="1"/>
    <s v="دورين "/>
    <s v="كيفنج "/>
    <n v="80"/>
    <x v="4"/>
    <s v="أبيض"/>
    <m/>
    <m/>
    <x v="66"/>
    <s v="مسبق الدفع"/>
    <d v="2024-11-17T00:00:00"/>
    <d v="2024-11-28T00:00:00"/>
    <d v="2024-11-26T00:00:00"/>
    <s v="تم التسليم محمود على "/>
    <x v="0"/>
    <s v="تم التسليم"/>
  </r>
  <r>
    <n v="110"/>
    <n v="1762617"/>
    <n v="1306879"/>
    <x v="40"/>
    <x v="6"/>
    <s v="٦ اكتوبر الجيزه  "/>
    <x v="0"/>
    <s v="هومزمارت"/>
    <x v="0"/>
    <s v="سرير"/>
    <x v="1"/>
    <s v="دورين"/>
    <s v="كينج"/>
    <n v="90"/>
    <x v="5"/>
    <s v="أسود"/>
    <m/>
    <m/>
    <x v="67"/>
    <n v="13575"/>
    <d v="2024-11-20T00:00:00"/>
    <d v="2024-12-05T00:00:00"/>
    <d v="2024-11-26T00:00:00"/>
    <s v="تم التسليم محمود على "/>
    <x v="0"/>
    <s v="تم التسليم"/>
  </r>
  <r>
    <n v="112"/>
    <m/>
    <m/>
    <x v="66"/>
    <x v="8"/>
    <s v="مصر الجديده"/>
    <x v="2"/>
    <s v="فيس بوك"/>
    <x v="0"/>
    <s v="سرير "/>
    <x v="4"/>
    <s v="فردى"/>
    <s v="كوين "/>
    <n v="160"/>
    <x v="6"/>
    <s v="دهبي"/>
    <s v="أبيض"/>
    <m/>
    <x v="9"/>
    <n v="5800"/>
    <d v="2024-11-22T00:00:00"/>
    <d v="2024-12-02T00:00:00"/>
    <d v="2024-11-27T00:00:00"/>
    <s v="تم التسليم محمود على "/>
    <x v="0"/>
    <s v="تم التسليم"/>
  </r>
  <r>
    <n v="113"/>
    <n v="1765451"/>
    <n v="1308241"/>
    <x v="67"/>
    <x v="34"/>
    <s v="شبرا "/>
    <x v="0"/>
    <s v="هومزمارت"/>
    <x v="0"/>
    <s v="سرير"/>
    <x v="4"/>
    <s v="فردى "/>
    <s v="اسبانى "/>
    <n v="120"/>
    <x v="3"/>
    <s v="رمادى"/>
    <m/>
    <m/>
    <x v="68"/>
    <n v="7965"/>
    <d v="2024-11-24T00:00:00"/>
    <d v="2024-12-05T00:00:00"/>
    <d v="2024-12-10T00:00:00"/>
    <s v="تم التسليم محمود على "/>
    <x v="0"/>
    <s v="تم التسليم"/>
  </r>
  <r>
    <n v="114"/>
    <m/>
    <m/>
    <x v="8"/>
    <x v="7"/>
    <s v="العباسيه "/>
    <x v="3"/>
    <s v="تاكى"/>
    <x v="2"/>
    <s v="كنبة "/>
    <x v="12"/>
    <s v="t1"/>
    <s v="t1"/>
    <m/>
    <x v="2"/>
    <m/>
    <m/>
    <m/>
    <x v="9"/>
    <n v="6000"/>
    <d v="2024-11-19T00:00:00"/>
    <d v="2024-12-05T00:00:00"/>
    <d v="2024-11-20T00:00:00"/>
    <s v="تم التسليم م محمد "/>
    <x v="0"/>
    <s v="تم التسليم"/>
  </r>
  <r>
    <n v="115"/>
    <n v="1782674"/>
    <n v="1315860"/>
    <x v="68"/>
    <x v="35"/>
    <s v="جليم الإسكندرية "/>
    <x v="0"/>
    <s v="هومزمارت"/>
    <x v="1"/>
    <s v="ترابيزه"/>
    <x v="2"/>
    <m/>
    <s v="مكتبه"/>
    <m/>
    <x v="2"/>
    <m/>
    <m/>
    <m/>
    <x v="69"/>
    <s v="مسبق الدفع"/>
    <d v="2024-11-27T00:00:00"/>
    <d v="2024-12-10T00:00:00"/>
    <d v="2024-12-23T00:00:00"/>
    <s v="تم التسليم عن طريق شركه شحن "/>
    <x v="0"/>
    <s v="تم التسليم"/>
  </r>
  <r>
    <n v="116"/>
    <n v="1781530"/>
    <n v="1315450"/>
    <x v="69"/>
    <x v="10"/>
    <s v="مدينه نصر "/>
    <x v="0"/>
    <s v="هومزمارت"/>
    <x v="1"/>
    <s v="ترابيزه"/>
    <x v="13"/>
    <s v="دوران "/>
    <s v="ميكانزم"/>
    <m/>
    <x v="4"/>
    <s v="أبيض"/>
    <s v="أبيض في بنى غامق"/>
    <m/>
    <x v="70"/>
    <n v="6211"/>
    <d v="2024-11-27T00:00:00"/>
    <d v="2024-12-10T00:00:00"/>
    <d v="2024-12-19T00:00:00"/>
    <s v="تم التسليم محمود على "/>
    <x v="0"/>
    <s v="تم التسليم"/>
  </r>
  <r>
    <n v="117"/>
    <n v="1795447"/>
    <n v="1321584"/>
    <x v="70"/>
    <x v="36"/>
    <s v="المندره اسكندريه"/>
    <x v="0"/>
    <s v="هومزمارت"/>
    <x v="0"/>
    <s v="سرير"/>
    <x v="1"/>
    <s v="دورين"/>
    <s v="كيفنج"/>
    <n v="100"/>
    <x v="5"/>
    <s v="أسود"/>
    <m/>
    <m/>
    <x v="71"/>
    <s v="مسبق الدفع"/>
    <d v="2024-11-29T00:00:00"/>
    <d v="2024-12-15T00:00:00"/>
    <m/>
    <s v="العميل رفض الاستلام"/>
    <x v="2"/>
    <s v="لاغي"/>
  </r>
  <r>
    <n v="118"/>
    <s v="s_7152"/>
    <m/>
    <x v="17"/>
    <x v="27"/>
    <s v="المخزن ابو الغيط "/>
    <x v="4"/>
    <s v="اوسكار ريتن "/>
    <x v="0"/>
    <s v="سرير"/>
    <x v="1"/>
    <s v="دورين "/>
    <s v="كيفنج "/>
    <n v="90"/>
    <x v="1"/>
    <s v="ازرق"/>
    <m/>
    <m/>
    <x v="72"/>
    <s v="حساب شركه"/>
    <d v="2024-12-01T00:00:00"/>
    <d v="2024-12-14T00:00:00"/>
    <d v="2024-12-10T00:00:00"/>
    <s v="تم التسليم محمود على "/>
    <x v="0"/>
    <s v="تم التسليم"/>
  </r>
  <r>
    <n v="119"/>
    <n v="1810950"/>
    <n v="1328141"/>
    <x v="71"/>
    <x v="24"/>
    <s v="العبور"/>
    <x v="0"/>
    <s v="هومزمارت"/>
    <x v="0"/>
    <s v="سرير "/>
    <x v="0"/>
    <s v="منطبق"/>
    <m/>
    <m/>
    <x v="5"/>
    <s v="أسود"/>
    <s v="أسود"/>
    <m/>
    <x v="70"/>
    <n v="6211"/>
    <d v="2024-12-04T00:00:00"/>
    <d v="2024-12-14T00:00:00"/>
    <d v="2024-12-19T00:00:00"/>
    <s v="تم التسليم محمود على "/>
    <x v="0"/>
    <s v="تم التسليم"/>
  </r>
  <r>
    <n v="120"/>
    <n v="240085463"/>
    <m/>
    <x v="72"/>
    <x v="37"/>
    <s v="اب تاون كايرو التجمع "/>
    <x v="1"/>
    <s v="شيك هومز"/>
    <x v="0"/>
    <s v="سرير"/>
    <x v="1"/>
    <s v="دورين"/>
    <s v="كينج"/>
    <m/>
    <x v="5"/>
    <s v="أسود"/>
    <m/>
    <m/>
    <x v="73"/>
    <n v="7707"/>
    <d v="2024-12-09T00:00:00"/>
    <d v="2024-12-31T00:00:00"/>
    <d v="2024-12-12T00:00:00"/>
    <s v="تم التسليم محمود على "/>
    <x v="0"/>
    <s v="تم التسليم"/>
  </r>
  <r>
    <n v="121"/>
    <n v="1818591"/>
    <n v="1332300"/>
    <x v="73"/>
    <x v="11"/>
    <s v="القاهره الجديده"/>
    <x v="0"/>
    <s v="هومزمارت"/>
    <x v="1"/>
    <s v="ترابيزه"/>
    <x v="13"/>
    <s v="دوران"/>
    <s v="ميكانزم"/>
    <m/>
    <x v="5"/>
    <s v="أسود "/>
    <s v="بنى غامق"/>
    <m/>
    <x v="14"/>
    <n v="11257"/>
    <d v="2024-12-12T00:00:00"/>
    <d v="2024-12-24T00:00:00"/>
    <d v="2024-12-19T00:00:00"/>
    <s v="تم التسليم محمود على "/>
    <x v="0"/>
    <s v="تم التسليم"/>
  </r>
  <r>
    <n v="122"/>
    <n v="1818396"/>
    <n v="1332179"/>
    <x v="74"/>
    <x v="6"/>
    <s v="٦ اكتوبر الجيزه  "/>
    <x v="0"/>
    <s v="هومزمارت"/>
    <x v="0"/>
    <s v="سرير "/>
    <x v="1"/>
    <s v="دورين"/>
    <s v="نوفال"/>
    <n v="80"/>
    <x v="5"/>
    <s v="أسود"/>
    <m/>
    <m/>
    <x v="31"/>
    <n v="13231"/>
    <d v="2024-12-12T00:00:00"/>
    <d v="2024-12-28T00:00:00"/>
    <d v="2024-12-29T00:00:00"/>
    <s v="تم التسليم محمود على "/>
    <x v="0"/>
    <s v="تم التسليم"/>
  </r>
  <r>
    <n v="123"/>
    <n v="240085758"/>
    <m/>
    <x v="61"/>
    <x v="30"/>
    <s v="مخزن شيك هومز"/>
    <x v="1"/>
    <s v="شيك هومز"/>
    <x v="2"/>
    <s v="كنبة "/>
    <x v="3"/>
    <s v="4×1"/>
    <s v="ارينا"/>
    <m/>
    <x v="5"/>
    <s v="أسود "/>
    <s v="روك ١٠"/>
    <m/>
    <x v="74"/>
    <s v="حساب شركه"/>
    <s v="14×12/2024"/>
    <d v="2025-01-05T00:00:00"/>
    <d v="2024-12-29T00:00:00"/>
    <s v="تم التسليم محمود على "/>
    <x v="0"/>
    <s v="تم التسليم"/>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30E93-22B7-4B6C-B738-A5BF11A0607C}" name="PivotTable5"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BP10:BR17" firstHeaderRow="0" firstDataRow="1" firstDataCol="1"/>
  <pivotFields count="26">
    <pivotField showAll="0"/>
    <pivotField showAll="0"/>
    <pivotField showAll="0"/>
    <pivotField showAll="0"/>
    <pivotField showAll="0"/>
    <pivotField showAll="0">
      <items count="12">
        <item x="7"/>
        <item x="5"/>
        <item x="3"/>
        <item x="4"/>
        <item x="6"/>
        <item x="1"/>
        <item x="2"/>
        <item x="10"/>
        <item x="9"/>
        <item x="8"/>
        <item x="0"/>
        <item t="default"/>
      </items>
    </pivotField>
    <pivotField showAll="0"/>
    <pivotField showAll="0"/>
    <pivotField showAll="0"/>
    <pivotField showAll="0"/>
    <pivotField showAll="0"/>
    <pivotField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showAll="0">
      <items count="28">
        <item x="0"/>
        <item x="4"/>
        <item x="12"/>
        <item x="5"/>
        <item x="9"/>
        <item x="10"/>
        <item x="7"/>
        <item x="1"/>
        <item x="8"/>
        <item x="2"/>
        <item x="26"/>
        <item x="14"/>
        <item x="13"/>
        <item x="3"/>
        <item x="6"/>
        <item x="20"/>
        <item x="24"/>
        <item x="25"/>
        <item x="23"/>
        <item x="15"/>
        <item x="11"/>
        <item x="19"/>
        <item x="16"/>
        <item x="22"/>
        <item x="21"/>
        <item x="18"/>
        <item x="17"/>
        <item t="default"/>
      </items>
    </pivotField>
    <pivotField dataField="1" showAll="0">
      <items count="38">
        <item x="1"/>
        <item x="34"/>
        <item x="2"/>
        <item x="36"/>
        <item x="27"/>
        <item x="31"/>
        <item x="7"/>
        <item x="26"/>
        <item x="33"/>
        <item x="13"/>
        <item x="32"/>
        <item x="9"/>
        <item x="11"/>
        <item x="0"/>
        <item x="10"/>
        <item x="4"/>
        <item x="14"/>
        <item x="15"/>
        <item x="12"/>
        <item x="8"/>
        <item x="3"/>
        <item x="6"/>
        <item x="25"/>
        <item x="22"/>
        <item x="35"/>
        <item x="29"/>
        <item x="30"/>
        <item x="5"/>
        <item x="20"/>
        <item x="18"/>
        <item x="16"/>
        <item x="23"/>
        <item x="21"/>
        <item x="17"/>
        <item x="19"/>
        <item x="28"/>
        <item x="24"/>
        <item t="default"/>
      </items>
    </pivotField>
    <pivotField axis="axisRow" showAll="0">
      <items count="7">
        <item x="4"/>
        <item x="0"/>
        <item x="1"/>
        <item x="3"/>
        <item x="5"/>
        <item x="2"/>
        <item t="default"/>
      </items>
    </pivotField>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19"/>
  </rowFields>
  <rowItems count="7">
    <i>
      <x/>
    </i>
    <i>
      <x v="1"/>
    </i>
    <i>
      <x v="2"/>
    </i>
    <i>
      <x v="3"/>
    </i>
    <i>
      <x v="4"/>
    </i>
    <i>
      <x v="5"/>
    </i>
    <i t="grand">
      <x/>
    </i>
  </rowItems>
  <colFields count="1">
    <field x="-2"/>
  </colFields>
  <colItems count="2">
    <i>
      <x/>
    </i>
    <i i="1">
      <x v="1"/>
    </i>
  </colItems>
  <dataFields count="2">
    <dataField name="Average of أيام التسليم المتفق عليه " fld="17" subtotal="average" baseField="19" baseItem="0"/>
    <dataField name="Average of أيام التسليم الفعلي " fld="18" subtotal="average" baseField="19" baseItem="0"/>
  </dataFields>
  <formats count="1">
    <format dxfId="0">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1C07A9-8942-46AD-8A18-3C803F77BC9F}" name="PivotTable16"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R5:AS9" firstHeaderRow="1" firstDataRow="1" firstDataCol="1" rowPageCount="1" colPageCount="1"/>
  <pivotFields count="26">
    <pivotField axis="axisRow" showAll="0" measureFilter="1" sortType="ascending">
      <items count="74">
        <item x="18"/>
        <item x="49"/>
        <item x="23"/>
        <item x="56"/>
        <item x="26"/>
        <item x="71"/>
        <item x="30"/>
        <item x="35"/>
        <item x="28"/>
        <item x="60"/>
        <item x="41"/>
        <item x="70"/>
        <item x="1"/>
        <item x="67"/>
        <item x="69"/>
        <item x="59"/>
        <item x="64"/>
        <item x="11"/>
        <item x="37"/>
        <item x="12"/>
        <item x="45"/>
        <item x="57"/>
        <item x="52"/>
        <item x="9"/>
        <item x="25"/>
        <item x="21"/>
        <item x="36"/>
        <item x="50"/>
        <item x="32"/>
        <item x="62"/>
        <item x="17"/>
        <item x="14"/>
        <item x="5"/>
        <item x="2"/>
        <item x="3"/>
        <item x="27"/>
        <item x="39"/>
        <item x="4"/>
        <item x="63"/>
        <item x="66"/>
        <item x="20"/>
        <item x="44"/>
        <item x="43"/>
        <item x="33"/>
        <item x="0"/>
        <item x="72"/>
        <item x="61"/>
        <item x="24"/>
        <item x="15"/>
        <item x="42"/>
        <item x="19"/>
        <item x="8"/>
        <item x="58"/>
        <item x="29"/>
        <item x="65"/>
        <item x="34"/>
        <item x="16"/>
        <item x="51"/>
        <item x="22"/>
        <item x="31"/>
        <item x="48"/>
        <item x="10"/>
        <item x="68"/>
        <item x="38"/>
        <item x="40"/>
        <item x="6"/>
        <item x="7"/>
        <item x="54"/>
        <item x="55"/>
        <item x="46"/>
        <item x="47"/>
        <item x="53"/>
        <item x="13"/>
        <item t="default"/>
      </items>
      <autoSortScope>
        <pivotArea dataOnly="0" outline="0" fieldPosition="0">
          <references count="1">
            <reference field="4294967294" count="1" selected="0">
              <x v="0"/>
            </reference>
          </references>
        </pivotArea>
      </autoSortScope>
    </pivotField>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0"/>
  </rowFields>
  <rowItems count="4">
    <i>
      <x v="56"/>
    </i>
    <i>
      <x v="51"/>
    </i>
    <i>
      <x v="32"/>
    </i>
    <i t="grand">
      <x/>
    </i>
  </rowItems>
  <colItems count="1">
    <i/>
  </colItems>
  <pageFields count="1">
    <pageField fld="1" hier="-1"/>
  </pageFields>
  <dataFields count="1">
    <dataField name="Sum of سعر البيع " fld="11" showDataAs="percentOfTotal" baseField="3" baseItem="0" numFmtId="10"/>
  </dataFields>
  <formats count="2">
    <format dxfId="32">
      <pivotArea outline="0" fieldPosition="0">
        <references count="1">
          <reference field="4294967294" count="1">
            <x v="0"/>
          </reference>
        </references>
      </pivotArea>
    </format>
    <format dxfId="31">
      <pivotArea collapsedLevelsAreSubtotals="1" fieldPosition="0">
        <references count="1">
          <reference field="0" count="12">
            <x v="4"/>
            <x v="6"/>
            <x v="32"/>
            <x v="36"/>
            <x v="41"/>
            <x v="49"/>
            <x v="51"/>
            <x v="56"/>
            <x v="57"/>
            <x v="63"/>
            <x v="65"/>
            <x v="7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5CE20A-A4A1-4DA8-8CEE-EF06ACD258E7}" name="PivotTable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BL8:BM12" firstHeaderRow="1" firstDataRow="1" firstDataCol="1"/>
  <pivotFields count="26">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2">
        <item x="7"/>
        <item x="5"/>
        <item x="3"/>
        <item x="4"/>
        <item x="6"/>
        <item x="1"/>
        <item x="2"/>
        <item x="10"/>
        <item x="9"/>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0"/>
    </i>
    <i>
      <x v="4"/>
    </i>
    <i>
      <x v="1"/>
    </i>
    <i t="grand">
      <x/>
    </i>
  </rowItems>
  <colItems count="1">
    <i/>
  </colItems>
  <dataFields count="1">
    <dataField name="Sum of سعر البيع " fld="11" showDataAs="percentOfTotal" baseField="3" baseItem="0" numFmtId="10"/>
  </dataFields>
  <formats count="1">
    <format dxfId="33">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8FA61E-E8B3-4855-8369-EC0A13F7B556}"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H19:BI30" firstHeaderRow="1" firstDataRow="1" firstDataCol="1"/>
  <pivotFields count="26">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5">
        <item x="4"/>
        <item x="1"/>
        <item x="5"/>
        <item x="9"/>
        <item x="8"/>
        <item x="13"/>
        <item x="7"/>
        <item x="11"/>
        <item x="6"/>
        <item x="2"/>
        <item x="10"/>
        <item x="12"/>
        <item x="3"/>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10"/>
  </rowFields>
  <rowItems count="11">
    <i>
      <x v="2"/>
    </i>
    <i>
      <x/>
    </i>
    <i>
      <x v="13"/>
    </i>
    <i>
      <x v="9"/>
    </i>
    <i>
      <x v="12"/>
    </i>
    <i>
      <x v="5"/>
    </i>
    <i>
      <x v="1"/>
    </i>
    <i>
      <x v="7"/>
    </i>
    <i>
      <x v="6"/>
    </i>
    <i>
      <x v="8"/>
    </i>
    <i t="grand">
      <x/>
    </i>
  </rowItems>
  <colItems count="1">
    <i/>
  </colItems>
  <dataFields count="1">
    <dataField name="Sum of سعر البيع " fld="11" showDataAs="percentOfTotal" baseField="3" baseItem="0" numFmtId="10"/>
  </dataFields>
  <formats count="1">
    <format dxfId="34">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9DF4A6-9CCD-418D-B7ED-DA5F0712C6C0}" name="PivotTable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B3:BC16" firstHeaderRow="1" firstDataRow="1" firstDataCol="1"/>
  <pivotFields count="26">
    <pivotField axis="axisRow" showAll="0" measureFilter="1" sortType="descending">
      <items count="74">
        <item x="13"/>
        <item x="53"/>
        <item x="47"/>
        <item x="46"/>
        <item x="55"/>
        <item x="54"/>
        <item x="7"/>
        <item x="6"/>
        <item x="40"/>
        <item x="38"/>
        <item x="68"/>
        <item x="10"/>
        <item x="48"/>
        <item x="31"/>
        <item x="22"/>
        <item x="51"/>
        <item x="16"/>
        <item x="34"/>
        <item x="65"/>
        <item x="29"/>
        <item x="58"/>
        <item x="8"/>
        <item x="19"/>
        <item x="42"/>
        <item x="15"/>
        <item x="24"/>
        <item x="61"/>
        <item x="72"/>
        <item x="0"/>
        <item x="33"/>
        <item x="43"/>
        <item x="44"/>
        <item x="20"/>
        <item x="66"/>
        <item x="63"/>
        <item x="4"/>
        <item x="39"/>
        <item x="27"/>
        <item x="3"/>
        <item x="2"/>
        <item x="5"/>
        <item x="14"/>
        <item x="17"/>
        <item x="62"/>
        <item x="32"/>
        <item x="50"/>
        <item x="36"/>
        <item x="21"/>
        <item x="25"/>
        <item x="9"/>
        <item x="52"/>
        <item x="57"/>
        <item x="45"/>
        <item x="12"/>
        <item x="37"/>
        <item x="11"/>
        <item x="64"/>
        <item x="59"/>
        <item x="69"/>
        <item x="67"/>
        <item x="1"/>
        <item x="70"/>
        <item x="41"/>
        <item x="60"/>
        <item x="28"/>
        <item x="35"/>
        <item x="30"/>
        <item x="71"/>
        <item x="26"/>
        <item x="56"/>
        <item x="23"/>
        <item x="49"/>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0"/>
  </rowFields>
  <rowItems count="13">
    <i>
      <x v="40"/>
    </i>
    <i>
      <x v="21"/>
    </i>
    <i>
      <x v="7"/>
    </i>
    <i>
      <x v="36"/>
    </i>
    <i>
      <x v="16"/>
    </i>
    <i>
      <x v="9"/>
    </i>
    <i>
      <x v="68"/>
    </i>
    <i>
      <x v="15"/>
    </i>
    <i>
      <x v="31"/>
    </i>
    <i>
      <x v="66"/>
    </i>
    <i>
      <x v="2"/>
    </i>
    <i>
      <x v="23"/>
    </i>
    <i t="grand">
      <x/>
    </i>
  </rowItems>
  <colItems count="1">
    <i/>
  </colItems>
  <dataFields count="1">
    <dataField name="Sum of سعر البيع " fld="11" showDataAs="percentOfTotal" baseField="3" baseItem="0" numFmtId="10"/>
  </dataFields>
  <formats count="1">
    <format dxfId="35">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AAE523-893E-4DE7-8B2E-B3543EC2C1C2}" name="PivotTable17"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W5:AX17" firstHeaderRow="1" firstDataRow="1" firstDataCol="1"/>
  <pivotFields count="26">
    <pivotField showAll="0"/>
    <pivotField showAll="0"/>
    <pivotField showAll="0"/>
    <pivotField showAll="0"/>
    <pivotField showAll="0"/>
    <pivotField axis="axisRow" showAll="0" sortType="descending">
      <items count="12">
        <item x="7"/>
        <item x="5"/>
        <item x="3"/>
        <item x="4"/>
        <item x="6"/>
        <item x="1"/>
        <item x="2"/>
        <item x="10"/>
        <item x="9"/>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5"/>
  </rowFields>
  <rowItems count="12">
    <i>
      <x v="10"/>
    </i>
    <i>
      <x v="4"/>
    </i>
    <i>
      <x v="1"/>
    </i>
    <i>
      <x v="2"/>
    </i>
    <i>
      <x v="5"/>
    </i>
    <i>
      <x v="6"/>
    </i>
    <i>
      <x/>
    </i>
    <i>
      <x v="3"/>
    </i>
    <i>
      <x v="7"/>
    </i>
    <i>
      <x v="9"/>
    </i>
    <i>
      <x v="8"/>
    </i>
    <i t="grand">
      <x/>
    </i>
  </rowItems>
  <colItems count="1">
    <i/>
  </colItems>
  <dataFields count="1">
    <dataField name="Sum of سعر البيع " fld="11" showDataAs="percentOfTotal" baseField="3" baseItem="0" numFmtId="10"/>
  </dataFields>
  <formats count="2">
    <format dxfId="37">
      <pivotArea outline="0" fieldPosition="0">
        <references count="1">
          <reference field="4294967294" count="1">
            <x v="0"/>
          </reference>
        </references>
      </pivotArea>
    </format>
    <format dxfId="36">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8B79AF-2BB0-464D-97A8-9E362552FF56}" name="PivotTable1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U7:V14" firstHeaderRow="1" firstDataRow="1" firstDataCol="1" rowPageCount="1" colPageCount="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axis="axisRow" showAll="0">
      <items count="7">
        <item x="4"/>
        <item x="0"/>
        <item x="1"/>
        <item x="3"/>
        <item x="5"/>
        <item x="2"/>
        <item t="default"/>
      </items>
    </pivotField>
    <pivotField axis="axisPage" dataField="1" multipleItemSelectionAllowed="1"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9"/>
  </rowFields>
  <rowItems count="7">
    <i>
      <x/>
    </i>
    <i>
      <x v="1"/>
    </i>
    <i>
      <x v="2"/>
    </i>
    <i>
      <x v="3"/>
    </i>
    <i>
      <x v="4"/>
    </i>
    <i>
      <x v="5"/>
    </i>
    <i t="grand">
      <x/>
    </i>
  </rowItems>
  <colItems count="1">
    <i/>
  </colItems>
  <pageFields count="1">
    <pageField fld="20" hier="-1"/>
  </pageFields>
  <dataFields count="1">
    <dataField name="Count of الحاله" fld="20" subtotal="count" baseField="0" baseItem="0"/>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D79DC9-E1EF-4204-A5E6-737078D32C81}" name="PivotTable10"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4:L5" firstHeaderRow="1"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سعر البيع " fld="11" subtotal="average" baseField="0" baseItem="2" numFmtId="164"/>
  </dataFields>
  <formats count="3">
    <format dxfId="43">
      <pivotArea type="all" dataOnly="0" outline="0" fieldPosition="0"/>
    </format>
    <format dxfId="42">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6F4485-D188-437D-B941-F4AFCE337741}" name="PivotTable1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B4:AD11"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showAll="0"/>
    <pivotField dataField="1" showAll="0"/>
    <pivotField axis="axisRow" showAll="0">
      <items count="7">
        <item x="4"/>
        <item x="0"/>
        <item x="1"/>
        <item x="3"/>
        <item x="5"/>
        <item x="2"/>
        <item t="default"/>
      </items>
    </pivotField>
    <pivotField showAll="0">
      <items count="6">
        <item x="0"/>
        <item m="1" x="4"/>
        <item x="1"/>
        <item x="2"/>
        <item x="3"/>
        <item t="default"/>
      </items>
    </pivotField>
    <pivotField showAll="0">
      <items count="7">
        <item x="0"/>
        <item sd="0" x="1"/>
        <item sd="0" x="2"/>
        <item x="3"/>
        <item sd="0" x="4"/>
        <item sd="0" x="5"/>
        <item t="default"/>
      </items>
    </pivotField>
    <pivotField showAll="0">
      <items count="5">
        <item x="0"/>
        <item x="1"/>
        <item x="2"/>
        <item sd="0"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7">
    <i>
      <x/>
    </i>
    <i>
      <x v="1"/>
    </i>
    <i>
      <x v="2"/>
    </i>
    <i>
      <x v="3"/>
    </i>
    <i>
      <x v="4"/>
    </i>
    <i>
      <x v="5"/>
    </i>
    <i t="grand">
      <x/>
    </i>
  </rowItems>
  <colFields count="1">
    <field x="-2"/>
  </colFields>
  <colItems count="2">
    <i>
      <x/>
    </i>
    <i i="1">
      <x v="1"/>
    </i>
  </colItems>
  <dataFields count="2">
    <dataField name="Average of أيام التسليم المتفق عليه " fld="17" subtotal="average" baseField="19" baseItem="0"/>
    <dataField name="Average of أيام التسليم الفعلي " fld="18" subtotal="average" baseField="19"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756345-ADDD-4867-9CF6-D6ADD0964F0A}" name="PivotTable8"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20"/>
  </rowFields>
  <rowItems count="5">
    <i>
      <x/>
    </i>
    <i>
      <x v="2"/>
    </i>
    <i>
      <x v="3"/>
    </i>
    <i>
      <x v="4"/>
    </i>
    <i t="grand">
      <x/>
    </i>
  </rowItems>
  <colItems count="1">
    <i/>
  </colItems>
  <dataFields count="1">
    <dataField name="Sum of سعر البيع " fld="11" baseField="0" baseItem="0"/>
  </dataFields>
  <formats count="1">
    <format dxfId="47">
      <pivotArea collapsedLevelsAreSubtotals="1" fieldPosition="0">
        <references count="1">
          <reference field="2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663891-7440-48A9-9C2E-7A9F59B48C8C}"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I7:BJ15" firstHeaderRow="1" firstDataRow="1" firstDataCol="1"/>
  <pivotFields count="26">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8">
        <item x="1"/>
        <item x="3"/>
        <item x="0"/>
        <item x="6"/>
        <item x="5"/>
        <item x="4"/>
        <item x="2"/>
        <item t="default"/>
      </items>
    </pivotField>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Sum of سعر البيع " fld="11" showDataAs="percentOfTotal" baseField="3" baseItem="0" numFmtId="10"/>
  </dataFields>
  <formats count="1">
    <format dxfId="48">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BE521E-3549-49A1-AAAC-DC2A50E8B238}" name="PivotTable9"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26">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نوع المنتج"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0D5DA5-F23D-4ECB-9445-DA55C4B34A53}" name="PivotTable1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Q4:R12" firstHeaderRow="1" firstDataRow="1" firstDataCol="1"/>
  <pivotFields count="26">
    <pivotField showAll="0"/>
    <pivotField showAll="0"/>
    <pivotField showAll="0"/>
    <pivotField showAll="0"/>
    <pivotField showAll="0"/>
    <pivotField showAll="0"/>
    <pivotField axis="axisRow" showAll="0">
      <items count="8">
        <item x="1"/>
        <item x="3"/>
        <item x="0"/>
        <item x="6"/>
        <item x="5"/>
        <item x="4"/>
        <item x="2"/>
        <item t="default"/>
      </items>
    </pivotField>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Sum of سعر البيع " fld="11" showDataAs="percentOfTotal" baseField="6" baseItem="3" numFmtId="10"/>
  </dataFields>
  <formats count="5">
    <format dxfId="53">
      <pivotArea type="all" dataOnly="0" outline="0" fieldPosition="0"/>
    </format>
    <format dxfId="52">
      <pivotArea outline="0" collapsedLevelsAreSubtotals="1" fieldPosition="0"/>
    </format>
    <format dxfId="51">
      <pivotArea dataOnly="0" labelOnly="1" outline="0" axis="axisValues" fieldPosition="0"/>
    </format>
    <format dxfId="50">
      <pivotArea outline="0" fieldPosition="0">
        <references count="1">
          <reference field="4294967294" count="1">
            <x v="0"/>
          </reference>
        </references>
      </pivotArea>
    </format>
    <format dxfId="49">
      <pivotArea collapsedLevelsAreSubtotals="1" fieldPosition="0">
        <references count="1">
          <reference field="6" count="0"/>
        </references>
      </pivotArea>
    </format>
  </formats>
  <chartFormats count="16">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3" format="13">
      <pivotArea type="data" outline="0" fieldPosition="0">
        <references count="2">
          <reference field="4294967294" count="1" selected="0">
            <x v="0"/>
          </reference>
          <reference field="6" count="1" selected="0">
            <x v="3"/>
          </reference>
        </references>
      </pivotArea>
    </chartFormat>
    <chartFormat chart="3" format="14">
      <pivotArea type="data" outline="0" fieldPosition="0">
        <references count="2">
          <reference field="4294967294" count="1" selected="0">
            <x v="0"/>
          </reference>
          <reference field="6" count="1" selected="0">
            <x v="4"/>
          </reference>
        </references>
      </pivotArea>
    </chartFormat>
    <chartFormat chart="3" format="15">
      <pivotArea type="data" outline="0" fieldPosition="0">
        <references count="2">
          <reference field="4294967294" count="1" selected="0">
            <x v="0"/>
          </reference>
          <reference field="6" count="1" selected="0">
            <x v="5"/>
          </reference>
        </references>
      </pivotArea>
    </chartFormat>
    <chartFormat chart="3" format="16">
      <pivotArea type="data" outline="0" fieldPosition="0">
        <references count="2">
          <reference field="4294967294" count="1" selected="0">
            <x v="0"/>
          </reference>
          <reference field="6" count="1" selected="0">
            <x v="6"/>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 chart="6" format="29">
      <pivotArea type="data" outline="0" fieldPosition="0">
        <references count="2">
          <reference field="4294967294" count="1" selected="0">
            <x v="0"/>
          </reference>
          <reference field="6" count="1" selected="0">
            <x v="3"/>
          </reference>
        </references>
      </pivotArea>
    </chartFormat>
    <chartFormat chart="6" format="30">
      <pivotArea type="data" outline="0" fieldPosition="0">
        <references count="2">
          <reference field="4294967294" count="1" selected="0">
            <x v="0"/>
          </reference>
          <reference field="6" count="1" selected="0">
            <x v="4"/>
          </reference>
        </references>
      </pivotArea>
    </chartFormat>
    <chartFormat chart="6" format="31">
      <pivotArea type="data" outline="0" fieldPosition="0">
        <references count="2">
          <reference field="4294967294" count="1" selected="0">
            <x v="0"/>
          </reference>
          <reference field="6" count="1" selected="0">
            <x v="5"/>
          </reference>
        </references>
      </pivotArea>
    </chartFormat>
    <chartFormat chart="6" format="32">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23BC11-B05F-41CF-91C3-5FB779F1BA03}" name="PivotTable15"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M5:AN15" firstHeaderRow="1" firstDataRow="1" firstDataCol="1"/>
  <pivotFields count="26">
    <pivotField showAll="0"/>
    <pivotField showAll="0"/>
    <pivotField showAll="0"/>
    <pivotField axis="axisRow" showAll="0">
      <items count="10">
        <item x="1"/>
        <item x="3"/>
        <item x="0"/>
        <item x="7"/>
        <item x="6"/>
        <item x="4"/>
        <item x="5"/>
        <item x="8"/>
        <item x="2"/>
        <item t="default"/>
      </items>
    </pivotField>
    <pivotField showAll="0"/>
    <pivotField showAll="0"/>
    <pivotField showAll="0"/>
    <pivotField showAll="0"/>
    <pivotField showAll="0"/>
    <pivotField showAll="0"/>
    <pivotField showAll="0"/>
    <pivotField dataField="1" showAll="0"/>
    <pivotField showAll="0"/>
    <pivotField showAll="0">
      <items count="6">
        <item m="1" x="4"/>
        <item x="2"/>
        <item x="3"/>
        <item x="1"/>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3"/>
  </rowFields>
  <rowItems count="10">
    <i>
      <x/>
    </i>
    <i>
      <x v="1"/>
    </i>
    <i>
      <x v="2"/>
    </i>
    <i>
      <x v="3"/>
    </i>
    <i>
      <x v="4"/>
    </i>
    <i>
      <x v="5"/>
    </i>
    <i>
      <x v="6"/>
    </i>
    <i>
      <x v="7"/>
    </i>
    <i>
      <x v="8"/>
    </i>
    <i t="grand">
      <x/>
    </i>
  </rowItems>
  <colItems count="1">
    <i/>
  </colItems>
  <dataFields count="1">
    <dataField name="Sum of سعر البيع " fld="11" showDataAs="percentOfTotal" baseField="3" baseItem="0" numFmtId="10"/>
  </dataFields>
  <formats count="2">
    <format dxfId="55">
      <pivotArea collapsedLevelsAreSubtotals="1" fieldPosition="0">
        <references count="1">
          <reference field="3" count="0"/>
        </references>
      </pivotArea>
    </format>
    <format dxfId="54">
      <pivotArea outline="0" fieldPosition="0">
        <references count="1">
          <reference field="4294967294" count="1">
            <x v="0"/>
          </reference>
        </references>
      </pivotArea>
    </format>
  </formats>
  <conditionalFormats count="1">
    <conditionalFormat priority="3">
      <pivotAreas count="1">
        <pivotArea type="data" collapsedLevelsAreSubtotals="1" fieldPosition="0">
          <references count="2">
            <reference field="4294967294" count="1" selected="0">
              <x v="0"/>
            </reference>
            <reference field="3" count="9">
              <x v="0"/>
              <x v="1"/>
              <x v="2"/>
              <x v="3"/>
              <x v="4"/>
              <x v="5"/>
              <x v="6"/>
              <x v="7"/>
              <x v="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BD01D1-FC13-464B-8DDB-45B447FADA18}" name="PivotTable1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G4:AH12"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m="1" x="4"/>
        <item x="2"/>
        <item x="3"/>
        <item x="1"/>
        <item x="0"/>
        <item t="default"/>
      </items>
    </pivotField>
    <pivotField axis="axisRow"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6">
        <item x="0"/>
        <item m="1" x="4"/>
        <item x="1"/>
        <item x="2"/>
        <item x="3"/>
        <item t="default"/>
      </items>
    </pivotField>
    <pivotField showAll="0">
      <items count="7">
        <item x="0"/>
        <item x="1"/>
        <item x="2"/>
        <item x="3"/>
        <item x="4"/>
        <item x="5"/>
        <item t="default"/>
      </items>
    </pivotField>
    <pivotField showAll="0">
      <items count="5">
        <item x="0"/>
        <item x="1"/>
        <item x="2"/>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14"/>
  </rowFields>
  <rowItems count="8">
    <i>
      <x/>
    </i>
    <i>
      <x v="7"/>
    </i>
    <i>
      <x v="8"/>
    </i>
    <i>
      <x v="9"/>
    </i>
    <i>
      <x v="10"/>
    </i>
    <i>
      <x v="11"/>
    </i>
    <i>
      <x v="12"/>
    </i>
    <i t="grand">
      <x/>
    </i>
  </rowItems>
  <colItems count="1">
    <i/>
  </colItems>
  <dataFields count="1">
    <dataField name="Sum of سعر البيع " fld="11" showDataAs="percentOfTotal" baseField="14" baseItem="0" numFmtId="10"/>
  </dataFields>
  <formats count="1">
    <format dxfId="56">
      <pivotArea collapsedLevelsAreSubtotals="1" fieldPosition="0">
        <references count="1">
          <reference field="14" count="7">
            <x v="0"/>
            <x v="7"/>
            <x v="8"/>
            <x v="9"/>
            <x v="10"/>
            <x v="11"/>
            <x v="12"/>
          </reference>
        </references>
      </pivotArea>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_2" xr10:uid="{3410887D-D906-434B-B54A-9BC7996D1890}" sourceName="منصة البيع 2">
  <data>
    <tabular pivotCacheId="828708264">
      <items count="8">
        <i x="5"/>
        <i x="4"/>
        <i x="3"/>
        <i x="1" s="1"/>
        <i x="2"/>
        <i x="7"/>
        <i x="6"/>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عنوان_2" xr10:uid="{750F197F-1396-46EB-8CA8-E28CD0E0F25F}" sourceName="العنوان 2">
  <data>
    <tabular pivotCacheId="828708264">
      <items count="44">
        <i x="4"/>
        <i x="17"/>
        <i x="32"/>
        <i x="6"/>
        <i x="39"/>
        <i x="26"/>
        <i x="37"/>
        <i x="25"/>
        <i x="40"/>
        <i x="15"/>
        <i x="31"/>
        <i x="5"/>
        <i x="23"/>
        <i x="29"/>
        <i x="28"/>
        <i x="18"/>
        <i x="38" s="1"/>
        <i x="22"/>
        <i x="42"/>
        <i x="7"/>
        <i x="24"/>
        <i x="0"/>
        <i x="14"/>
        <i x="3"/>
        <i x="11"/>
        <i x="16"/>
        <i x="43"/>
        <i x="27"/>
        <i x="12"/>
        <i x="41"/>
        <i x="9"/>
        <i x="36"/>
        <i x="35"/>
        <i x="19"/>
        <i x="1"/>
        <i x="2"/>
        <i x="34"/>
        <i x="21"/>
        <i x="20"/>
        <i x="13"/>
        <i x="30"/>
        <i x="33"/>
        <i x="10"/>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عر_البيع" xr10:uid="{0549C9CD-4234-4215-A967-9C42814CD89D}" sourceName="سعر البيع ">
  <data>
    <tabular pivotCacheId="828708264">
      <items count="75">
        <i x="20"/>
        <i x="60"/>
        <i x="45"/>
        <i x="39"/>
        <i x="50"/>
        <i x="56"/>
        <i x="72"/>
        <i x="65"/>
        <i x="57"/>
        <i x="61"/>
        <i x="27"/>
        <i x="9"/>
        <i x="13"/>
        <i x="40"/>
        <i x="64"/>
        <i x="6"/>
        <i x="11"/>
        <i x="66"/>
        <i x="43"/>
        <i x="24"/>
        <i x="12"/>
        <i x="15"/>
        <i x="22"/>
        <i x="69"/>
        <i x="44"/>
        <i x="52"/>
        <i x="2"/>
        <i x="74"/>
        <i x="17"/>
        <i x="48"/>
        <i x="41"/>
        <i x="19"/>
        <i x="16"/>
        <i x="21"/>
        <i x="23"/>
        <i x="25"/>
        <i x="46"/>
        <i x="54" s="1"/>
        <i x="0"/>
        <i x="70"/>
        <i x="37"/>
        <i x="73"/>
        <i x="10"/>
        <i x="68"/>
        <i x="18"/>
        <i x="30"/>
        <i x="14"/>
        <i x="62"/>
        <i x="1"/>
        <i x="55"/>
        <i x="35"/>
        <i x="28"/>
        <i x="5"/>
        <i x="58"/>
        <i x="38"/>
        <i x="51"/>
        <i x="3"/>
        <i x="49"/>
        <i x="63"/>
        <i x="26"/>
        <i x="31"/>
        <i x="67"/>
        <i x="32"/>
        <i x="4"/>
        <i x="71"/>
        <i x="42"/>
        <i x="53"/>
        <i x="59"/>
        <i x="8"/>
        <i x="29"/>
        <i x="34"/>
        <i x="36"/>
        <i x="33"/>
        <i x="7"/>
        <i x="4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طريقة_الدفع" xr10:uid="{EDD2BF9B-B6B7-4EBB-A864-F40E5419C477}" sourceName="طريقة الدفع ">
  <pivotTables>
    <pivotTable tabId="34" name="PivotTable15"/>
    <pivotTable tabId="34" name="PivotTable10"/>
    <pivotTable tabId="34" name="PivotTable11"/>
    <pivotTable tabId="34" name="PivotTable12"/>
    <pivotTable tabId="34" name="PivotTable13"/>
    <pivotTable tabId="34" name="PivotTable14"/>
    <pivotTable tabId="34" name="PivotTable16"/>
    <pivotTable tabId="34" name="PivotTable17"/>
    <pivotTable tabId="34" name="PivotTable8"/>
    <pivotTable tabId="34" name="PivotTable9"/>
    <pivotTable tabId="34" name="PivotTable1"/>
    <pivotTable tabId="34" name="PivotTable2"/>
    <pivotTable tabId="34" name="PivotTable3"/>
    <pivotTable tabId="34" name="PivotTable4"/>
    <pivotTable tabId="34" name="PivotTable5"/>
  </pivotTables>
  <data>
    <tabular pivotCacheId="258093714">
      <items count="5">
        <i x="2" s="1"/>
        <i x="3" s="1"/>
        <i x="1" s="1"/>
        <i x="0"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ه" xr10:uid="{2A989F2E-4B99-41EE-99E6-9D3EF16A24C3}" sourceName="الحاله">
  <pivotTables>
    <pivotTable tabId="34" name="PivotTable15"/>
    <pivotTable tabId="34" name="PivotTable10"/>
    <pivotTable tabId="34" name="PivotTable11"/>
    <pivotTable tabId="34" name="PivotTable12"/>
    <pivotTable tabId="34" name="PivotTable13"/>
    <pivotTable tabId="34" name="PivotTable14"/>
    <pivotTable tabId="34" name="PivotTable16"/>
    <pivotTable tabId="34" name="PivotTable17"/>
    <pivotTable tabId="34" name="PivotTable8"/>
    <pivotTable tabId="34" name="PivotTable9"/>
    <pivotTable tabId="34" name="PivotTable1"/>
    <pivotTable tabId="34" name="PivotTable2"/>
    <pivotTable tabId="34" name="PivotTable3"/>
    <pivotTable tabId="34" name="PivotTable4"/>
    <pivotTable tabId="34" name="PivotTable5"/>
  </pivotTables>
  <data>
    <tabular pivotCacheId="258093714">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طريقة الدفع " xr10:uid="{B75A5090-05F1-451A-ADAD-D61CFCF3A371}" cache="Slicer_طريقة_الدفع" caption="طريقة الدفع " columnCount="3" style="Slicer Style 6" rowHeight="324000"/>
  <slicer name="الحاله" xr10:uid="{CE7460AC-280B-416C-8363-CA68875C0203}" cache="Slicer_الحاله" caption="الحاله" columnCount="3" style="Slicer Style 6"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طريقة الدفع  1" xr10:uid="{F60B0E3E-F080-462A-868A-CDA0BDE9DC22}" cache="Slicer_طريقة_الدفع" caption="طريقة الدفع " style="Slicer Style 1" rowHeight="252000"/>
  <slicer name="الحاله 2" xr10:uid="{1C07CA55-A9FD-48C1-9C98-345671141AA9}" cache="Slicer_الحاله" caption="الحاله" style="Slicer Style 1" rowHeight="3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نصة البيع 2" xr10:uid="{EF8E59BA-ABF8-4349-BA76-B98B10CBCA83}" cache="Slicer_منصة_البيع_2" caption="منصة البيع 2" rowHeight="234950"/>
  <slicer name="العنوان 2" xr10:uid="{EFBD4378-51B1-4645-B9C2-8A240437E6F8}" cache="Slicer_العنوان_2" caption="العنوان 2" startItem="36" rowHeight="234950"/>
  <slicer name="سعر البيع " xr10:uid="{478F2647-6610-461C-8EA0-2ABF79F2D40E}" cache="Slicer_سعر_البيع" caption="سعر البيع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DA0D7B-DED0-4809-BF0A-3B5152013F40}" name="bb" displayName="bb" ref="A1:U122" totalsRowShown="0" dataDxfId="79" headerRowBorderDxfId="80" tableBorderDxfId="78">
  <autoFilter ref="A1:U122" xr:uid="{7BC55706-708B-4827-9D0B-00A817E7B1BC}">
    <filterColumn colId="13">
      <filters>
        <filter val="مسبق الدفع"/>
      </filters>
    </filterColumn>
  </autoFilter>
  <tableColumns count="21">
    <tableColumn id="1" xr3:uid="{EDA8B03D-C7FF-4C0B-964D-22E075EAF66F}" name="أسم العميل" dataDxfId="77"/>
    <tableColumn id="2" xr3:uid="{0C7D6C06-8FC8-473B-9A58-61BFE1606655}" name="نوع العميل " dataDxfId="76">
      <calculatedColumnFormula>IF(OR(A2="تاكي",A2= "شيك هومز",A2= "اوسكار راتن" ), "شركة ","فرد ")</calculatedColumnFormula>
    </tableColumn>
    <tableColumn id="3" xr3:uid="{43C5BE0C-84B8-423B-A3A6-1435F8002882}" name="الوضع " dataDxfId="75">
      <calculatedColumnFormula>VLOOKUP(E2,AC:AD,1,0)</calculatedColumnFormula>
    </tableColumn>
    <tableColumn id="4" xr3:uid="{EE20FDFA-5F98-4ED2-9B4A-C1769B32D32D}" name="المحافظة " dataDxfId="74">
      <calculatedColumnFormula>VLOOKUP(E2,AC:AD,2,0)</calculatedColumnFormula>
    </tableColumn>
    <tableColumn id="5" xr3:uid="{8D43BF6F-2836-41EE-AC81-ACC41AEABF8C}" name="العنوان" dataDxfId="73"/>
    <tableColumn id="6" xr3:uid="{A269967F-F9AD-422B-923B-D3BCD89A6046}" name="منصة البيع " dataDxfId="72"/>
    <tableColumn id="7" xr3:uid="{19ED6898-94D9-45CA-9295-95422B57E8FF}" name="نوع المنتج" dataDxfId="71"/>
    <tableColumn id="8" xr3:uid="{A39CCF04-9697-4BAC-AED1-D80BA8B83A35}" name="تفاصيل المنتج" dataDxfId="70"/>
    <tableColumn id="9" xr3:uid="{1C6B20D9-3B9D-4709-9F34-DBD2EDBF4585}" name="الاسم" dataDxfId="69"/>
    <tableColumn id="10" xr3:uid="{C68ED903-8B21-4F62-B022-3B989376BD17}" name="المقاس" dataDxfId="68"/>
    <tableColumn id="11" xr3:uid="{2E57E397-9169-4C19-8FBD-9AA0B7A01650}" name="الوان المعدن" dataDxfId="67"/>
    <tableColumn id="12" xr3:uid="{64768ADF-DBED-46D3-B6B4-744A73269E70}" name="سعر البيع " dataDxfId="66"/>
    <tableColumn id="13" xr3:uid="{93B834DC-C95C-45AB-8EFD-A90F07876AD4}" name="طريقه الدفع " dataDxfId="65"/>
    <tableColumn id="14" xr3:uid="{004DF6A4-A06A-42A9-82B8-CB2F0BE21203}" name="طريقة الدفع " dataDxfId="64">
      <calculatedColumnFormula>IF(ISNUMBER(M2),"كاش", M2)</calculatedColumnFormula>
    </tableColumn>
    <tableColumn id="15" xr3:uid="{7DCCE695-41A3-4972-8C2C-1F9D4DF66DF1}" name="ميعاد الطلب" dataDxfId="63"/>
    <tableColumn id="16" xr3:uid="{FE22D49E-8BB2-405A-B4F2-33FF66E2C5AA}" name="ميعاد التسليم" dataDxfId="62"/>
    <tableColumn id="17" xr3:uid="{1166025D-9973-4BDC-8B65-8DE279AFBAAD}" name="تاريخ التسليم" dataDxfId="61"/>
    <tableColumn id="18" xr3:uid="{57CA6A31-FD82-4FBA-B8C7-216597F1B446}" name="أيام التسليم المتفق عليه " dataDxfId="60">
      <calculatedColumnFormula>IF(OR(ISBLANK(P2),ISBLANK(O2)),0,P2-O2)</calculatedColumnFormula>
    </tableColumn>
    <tableColumn id="19" xr3:uid="{EBEC6D00-F557-48B1-A2D4-0DA73D968074}" name="أيام التسليم الفعلي " dataDxfId="59">
      <calculatedColumnFormula>IF(OR(ISBLANK(bb[[#This Row],[ميعاد الطلب]]),ISBLANK(bb[[#This Row],[تاريخ التسليم]])),0,bb[[#This Row],[تاريخ التسليم]]-bb[[#This Row],[ميعاد الطلب]])</calculatedColumnFormula>
    </tableColumn>
    <tableColumn id="20" xr3:uid="{D600C926-5B32-4197-9F49-09D7B6C27E89}" name="المسئول عن التسليم" dataDxfId="58"/>
    <tableColumn id="21" xr3:uid="{AEBFC0A6-0D73-4E07-9987-58BED78654F1}" name="الحاله" dataDxfId="57"/>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rgbClr val="182B49"/>
        </a:solidFill>
        <a:ln w="9525" cmpd="sng">
          <a:solidFill>
            <a:schemeClr val="lt1">
              <a:shade val="50000"/>
            </a:schemeClr>
          </a:solidFill>
        </a:ln>
      </a:spPr>
      <a:bodyPr vertOverflow="clip" horzOverflow="clip" wrap="square" rtlCol="0" anchor="t"/>
      <a:lstStyle>
        <a:defPPr algn="l">
          <a:defRPr sz="2400">
            <a:solidFill>
              <a:srgbClr val="E30613"/>
            </a:solidFill>
            <a:latin typeface="Arial Black" panose="020B0A04020102020204" pitchFamily="34"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55706-708B-4827-9D0B-00A817E7B1BC}">
  <sheetPr codeName="Sheet2">
    <tabColor theme="7" tint="0.79998168889431442"/>
  </sheetPr>
  <dimension ref="A1:AD122"/>
  <sheetViews>
    <sheetView rightToLeft="1" topLeftCell="D23" zoomScale="58" zoomScaleNormal="40" workbookViewId="0">
      <selection activeCell="L35" sqref="L35"/>
    </sheetView>
  </sheetViews>
  <sheetFormatPr defaultRowHeight="14"/>
  <cols>
    <col min="1" max="1" width="22.75" bestFit="1" customWidth="1"/>
    <col min="2" max="2" width="20.33203125" bestFit="1" customWidth="1"/>
    <col min="3" max="3" width="39.1640625" bestFit="1" customWidth="1"/>
    <col min="4" max="4" width="18.25" bestFit="1" customWidth="1"/>
    <col min="5" max="5" width="39.1640625" bestFit="1" customWidth="1"/>
    <col min="6" max="6" width="20.75" bestFit="1" customWidth="1"/>
    <col min="7" max="7" width="16.1640625" bestFit="1" customWidth="1"/>
    <col min="8" max="8" width="22.75" bestFit="1" customWidth="1"/>
    <col min="9" max="9" width="13.6640625" bestFit="1" customWidth="1"/>
    <col min="10" max="10" width="15.6640625" bestFit="1" customWidth="1"/>
    <col min="11" max="11" width="15.5" customWidth="1"/>
    <col min="12" max="12" width="19.08203125" customWidth="1"/>
    <col min="13" max="14" width="21.08203125" bestFit="1" customWidth="1"/>
    <col min="15" max="15" width="20.25" bestFit="1" customWidth="1"/>
    <col min="16" max="16" width="21.33203125" bestFit="1" customWidth="1"/>
    <col min="17" max="17" width="21.75" bestFit="1" customWidth="1"/>
    <col min="18" max="18" width="33.6640625" bestFit="1" customWidth="1"/>
    <col min="19" max="19" width="27.6640625" bestFit="1" customWidth="1"/>
    <col min="20" max="20" width="28.83203125" bestFit="1" customWidth="1"/>
    <col min="21" max="21" width="14.25" customWidth="1"/>
    <col min="29" max="29" width="39.1640625" bestFit="1" customWidth="1"/>
    <col min="30" max="30" width="17.6640625" bestFit="1" customWidth="1"/>
  </cols>
  <sheetData>
    <row r="1" spans="1:30" ht="22.5">
      <c r="A1" s="10" t="s">
        <v>0</v>
      </c>
      <c r="B1" s="10" t="s">
        <v>171</v>
      </c>
      <c r="C1" s="10" t="s">
        <v>242</v>
      </c>
      <c r="D1" s="10" t="s">
        <v>209</v>
      </c>
      <c r="E1" s="10" t="s">
        <v>1</v>
      </c>
      <c r="F1" s="10" t="s">
        <v>4</v>
      </c>
      <c r="G1" s="11" t="s">
        <v>147</v>
      </c>
      <c r="H1" s="10" t="s">
        <v>148</v>
      </c>
      <c r="I1" s="10" t="s">
        <v>75</v>
      </c>
      <c r="J1" s="10" t="s">
        <v>76</v>
      </c>
      <c r="K1" s="10" t="s">
        <v>154</v>
      </c>
      <c r="L1" s="10" t="s">
        <v>6</v>
      </c>
      <c r="M1" s="12" t="s">
        <v>7</v>
      </c>
      <c r="N1" s="12" t="s">
        <v>210</v>
      </c>
      <c r="O1" s="13" t="s">
        <v>9</v>
      </c>
      <c r="P1" s="13" t="s">
        <v>8</v>
      </c>
      <c r="Q1" s="13" t="s">
        <v>2</v>
      </c>
      <c r="R1" s="14" t="s">
        <v>207</v>
      </c>
      <c r="S1" s="14" t="s">
        <v>208</v>
      </c>
      <c r="T1" s="10" t="s">
        <v>3</v>
      </c>
      <c r="U1" s="15" t="s">
        <v>153</v>
      </c>
      <c r="AC1" s="4" t="s">
        <v>1</v>
      </c>
      <c r="AD1" s="4" t="s">
        <v>161</v>
      </c>
    </row>
    <row r="2" spans="1:30" ht="20">
      <c r="A2" s="16" t="s">
        <v>174</v>
      </c>
      <c r="B2" s="16" t="str">
        <f t="shared" ref="B2:B33" si="0">IF(OR(A2="تاكي",A2= "شيك هومز",A2= "اوسكار راتن" ), "شركة ","فرد ")</f>
        <v xml:space="preserve">فرد </v>
      </c>
      <c r="C2" s="16" t="str">
        <f t="shared" ref="C2:C33" si="1">VLOOKUP(E2,AC:AD,1,0)</f>
        <v>العجوزه - الجيزه</v>
      </c>
      <c r="D2" s="16" t="str">
        <f t="shared" ref="D2:D33" si="2">VLOOKUP(E2,AC:AD,2,0)</f>
        <v>الجيزة</v>
      </c>
      <c r="E2" s="16" t="s">
        <v>10</v>
      </c>
      <c r="F2" s="16" t="s">
        <v>5</v>
      </c>
      <c r="G2" s="17" t="s">
        <v>58</v>
      </c>
      <c r="H2" s="16" t="s">
        <v>59</v>
      </c>
      <c r="I2" s="16" t="s">
        <v>241</v>
      </c>
      <c r="J2" s="16" t="s">
        <v>241</v>
      </c>
      <c r="K2" s="16" t="s">
        <v>241</v>
      </c>
      <c r="L2" s="16">
        <v>10160</v>
      </c>
      <c r="M2" s="16" t="s">
        <v>11</v>
      </c>
      <c r="N2" s="16" t="str">
        <f t="shared" ref="N2:N21" si="3">IF(ISNUMBER(M2),"كاش", M2)</f>
        <v>مسبق الدفع</v>
      </c>
      <c r="O2" s="18">
        <v>45500</v>
      </c>
      <c r="P2" s="18"/>
      <c r="Q2" s="18">
        <v>45514</v>
      </c>
      <c r="R2" s="19">
        <f>IF(OR(ISBLANK(P2),ISBLANK(O2)),0,P2-O2)</f>
        <v>0</v>
      </c>
      <c r="S2" s="19">
        <f>IF(OR(ISBLANK(bb[[#This Row],[ميعاد الطلب]]),ISBLANK(bb[[#This Row],[تاريخ التسليم]])),0,bb[[#This Row],[تاريخ التسليم]]-bb[[#This Row],[ميعاد الطلب]])</f>
        <v>14</v>
      </c>
      <c r="T2" s="16" t="s">
        <v>213</v>
      </c>
      <c r="U2" s="16" t="s">
        <v>88</v>
      </c>
      <c r="AC2" s="5" t="s">
        <v>10</v>
      </c>
      <c r="AD2" s="5" t="s">
        <v>162</v>
      </c>
    </row>
    <row r="3" spans="1:30" ht="20" hidden="1">
      <c r="A3" s="16" t="s">
        <v>12</v>
      </c>
      <c r="B3" s="16" t="str">
        <f t="shared" si="0"/>
        <v xml:space="preserve">فرد </v>
      </c>
      <c r="C3" s="16" t="str">
        <f t="shared" si="1"/>
        <v>سموحه - اسكندريه</v>
      </c>
      <c r="D3" s="16" t="str">
        <f t="shared" si="2"/>
        <v>الإسكندرية</v>
      </c>
      <c r="E3" s="16" t="s">
        <v>13</v>
      </c>
      <c r="F3" s="16" t="s">
        <v>5</v>
      </c>
      <c r="G3" s="17" t="s">
        <v>58</v>
      </c>
      <c r="H3" s="16" t="s">
        <v>59</v>
      </c>
      <c r="I3" s="16" t="s">
        <v>241</v>
      </c>
      <c r="J3" s="16" t="s">
        <v>241</v>
      </c>
      <c r="K3" s="16" t="s">
        <v>241</v>
      </c>
      <c r="L3" s="16">
        <v>10160</v>
      </c>
      <c r="M3" s="16">
        <v>9749</v>
      </c>
      <c r="N3" s="16" t="str">
        <f t="shared" si="3"/>
        <v>كاش</v>
      </c>
      <c r="O3" s="18">
        <v>45501</v>
      </c>
      <c r="P3" s="18"/>
      <c r="Q3" s="18">
        <v>45515</v>
      </c>
      <c r="R3" s="19">
        <f t="shared" ref="R3:R66" si="4">IF(OR(ISBLANK(P3),ISBLANK(O3)),0,P3-O3)</f>
        <v>0</v>
      </c>
      <c r="S3" s="19">
        <f>IF(OR(ISBLANK(bb[[#This Row],[ميعاد الطلب]]),ISBLANK(bb[[#This Row],[تاريخ التسليم]])),0,bb[[#This Row],[تاريخ التسليم]]-bb[[#This Row],[ميعاد الطلب]])</f>
        <v>14</v>
      </c>
      <c r="T3" s="16" t="s">
        <v>213</v>
      </c>
      <c r="U3" s="16" t="s">
        <v>88</v>
      </c>
      <c r="AC3" s="5" t="s">
        <v>13</v>
      </c>
      <c r="AD3" s="5" t="s">
        <v>163</v>
      </c>
    </row>
    <row r="4" spans="1:30" ht="20" hidden="1">
      <c r="A4" s="16" t="s">
        <v>14</v>
      </c>
      <c r="B4" s="16" t="str">
        <f t="shared" si="0"/>
        <v xml:space="preserve">فرد </v>
      </c>
      <c r="C4" s="16" t="str">
        <f t="shared" si="1"/>
        <v xml:space="preserve">سيدى عبد الرحمن - الساحل الشمالى </v>
      </c>
      <c r="D4" s="16" t="str">
        <f t="shared" si="2"/>
        <v>مطروح</v>
      </c>
      <c r="E4" s="16" t="s">
        <v>15</v>
      </c>
      <c r="F4" s="16" t="s">
        <v>5</v>
      </c>
      <c r="G4" s="17" t="s">
        <v>58</v>
      </c>
      <c r="H4" s="16" t="s">
        <v>145</v>
      </c>
      <c r="I4" s="16" t="s">
        <v>63</v>
      </c>
      <c r="J4" s="16">
        <v>90</v>
      </c>
      <c r="K4" s="16" t="s">
        <v>71</v>
      </c>
      <c r="L4" s="16">
        <v>11455</v>
      </c>
      <c r="M4" s="16">
        <v>10067.68</v>
      </c>
      <c r="N4" s="16" t="str">
        <f t="shared" si="3"/>
        <v>كاش</v>
      </c>
      <c r="O4" s="18">
        <v>45500</v>
      </c>
      <c r="P4" s="18"/>
      <c r="Q4" s="18"/>
      <c r="R4" s="19">
        <f t="shared" si="4"/>
        <v>0</v>
      </c>
      <c r="S4" s="19">
        <f>IF(OR(ISBLANK(bb[[#This Row],[ميعاد الطلب]]),ISBLANK(bb[[#This Row],[تاريخ التسليم]])),0,bb[[#This Row],[تاريخ التسليم]]-bb[[#This Row],[ميعاد الطلب]])</f>
        <v>0</v>
      </c>
      <c r="T4" s="16" t="s">
        <v>21</v>
      </c>
      <c r="U4" s="16" t="s">
        <v>86</v>
      </c>
      <c r="AC4" s="5" t="s">
        <v>15</v>
      </c>
      <c r="AD4" s="5" t="s">
        <v>164</v>
      </c>
    </row>
    <row r="5" spans="1:30" ht="20">
      <c r="A5" s="16" t="s">
        <v>16</v>
      </c>
      <c r="B5" s="16" t="str">
        <f t="shared" si="0"/>
        <v xml:space="preserve">فرد </v>
      </c>
      <c r="C5" s="16" t="str">
        <f t="shared" si="1"/>
        <v xml:space="preserve">الغردقه </v>
      </c>
      <c r="D5" s="16" t="str">
        <f t="shared" si="2"/>
        <v>البحر الأحمر</v>
      </c>
      <c r="E5" s="16" t="s">
        <v>17</v>
      </c>
      <c r="F5" s="16" t="s">
        <v>5</v>
      </c>
      <c r="G5" s="17" t="s">
        <v>136</v>
      </c>
      <c r="H5" s="16" t="s">
        <v>241</v>
      </c>
      <c r="I5" s="16" t="s">
        <v>241</v>
      </c>
      <c r="J5" s="16" t="s">
        <v>241</v>
      </c>
      <c r="K5" s="16" t="s">
        <v>241</v>
      </c>
      <c r="L5" s="16">
        <v>8642</v>
      </c>
      <c r="M5" s="16" t="s">
        <v>11</v>
      </c>
      <c r="N5" s="16" t="str">
        <f t="shared" si="3"/>
        <v>مسبق الدفع</v>
      </c>
      <c r="O5" s="18">
        <v>45529</v>
      </c>
      <c r="P5" s="18">
        <v>45542</v>
      </c>
      <c r="Q5" s="18">
        <v>45531</v>
      </c>
      <c r="R5" s="19">
        <f t="shared" si="4"/>
        <v>13</v>
      </c>
      <c r="S5" s="19">
        <f>IF(OR(ISBLANK(bb[[#This Row],[ميعاد الطلب]]),ISBLANK(bb[[#This Row],[تاريخ التسليم]])),0,bb[[#This Row],[تاريخ التسليم]]-bb[[#This Row],[ميعاد الطلب]])</f>
        <v>2</v>
      </c>
      <c r="T5" s="16" t="s">
        <v>213</v>
      </c>
      <c r="U5" s="16" t="s">
        <v>88</v>
      </c>
      <c r="AC5" s="5" t="s">
        <v>17</v>
      </c>
      <c r="AD5" s="5" t="s">
        <v>165</v>
      </c>
    </row>
    <row r="6" spans="1:30" ht="20" hidden="1">
      <c r="A6" s="16" t="s">
        <v>175</v>
      </c>
      <c r="B6" s="16" t="str">
        <f t="shared" si="0"/>
        <v xml:space="preserve">فرد </v>
      </c>
      <c r="C6" s="16" t="str">
        <f t="shared" si="1"/>
        <v xml:space="preserve">سيدى عبد الرحمن - الساحل الشمالى </v>
      </c>
      <c r="D6" s="16" t="str">
        <f t="shared" si="2"/>
        <v>مطروح</v>
      </c>
      <c r="E6" s="16" t="s">
        <v>15</v>
      </c>
      <c r="F6" s="16" t="s">
        <v>5</v>
      </c>
      <c r="G6" s="17" t="s">
        <v>58</v>
      </c>
      <c r="H6" s="16" t="s">
        <v>145</v>
      </c>
      <c r="I6" s="16" t="s">
        <v>60</v>
      </c>
      <c r="J6" s="16">
        <v>100</v>
      </c>
      <c r="K6" s="16" t="s">
        <v>73</v>
      </c>
      <c r="L6" s="16">
        <v>12833</v>
      </c>
      <c r="M6" s="16">
        <v>12974.22</v>
      </c>
      <c r="N6" s="16" t="str">
        <f t="shared" si="3"/>
        <v>كاش</v>
      </c>
      <c r="O6" s="18">
        <v>45520</v>
      </c>
      <c r="P6" s="18">
        <v>45535</v>
      </c>
      <c r="Q6" s="18"/>
      <c r="R6" s="19">
        <f t="shared" si="4"/>
        <v>15</v>
      </c>
      <c r="S6" s="19">
        <f>IF(OR(ISBLANK(bb[[#This Row],[ميعاد الطلب]]),ISBLANK(bb[[#This Row],[تاريخ التسليم]])),0,bb[[#This Row],[تاريخ التسليم]]-bb[[#This Row],[ميعاد الطلب]])</f>
        <v>0</v>
      </c>
      <c r="T6" s="16" t="s">
        <v>21</v>
      </c>
      <c r="U6" s="16" t="s">
        <v>86</v>
      </c>
      <c r="AC6" s="5" t="s">
        <v>15</v>
      </c>
      <c r="AD6" s="5" t="s">
        <v>164</v>
      </c>
    </row>
    <row r="7" spans="1:30" ht="20">
      <c r="A7" s="16" t="s">
        <v>24</v>
      </c>
      <c r="B7" s="16" t="str">
        <f t="shared" si="0"/>
        <v xml:space="preserve">شركة </v>
      </c>
      <c r="C7" s="16" t="str">
        <f t="shared" si="1"/>
        <v>القاهرة</v>
      </c>
      <c r="D7" s="16" t="str">
        <f t="shared" si="2"/>
        <v>القاهرة</v>
      </c>
      <c r="E7" s="20" t="s">
        <v>166</v>
      </c>
      <c r="F7" s="16" t="s">
        <v>18</v>
      </c>
      <c r="G7" s="17" t="s">
        <v>69</v>
      </c>
      <c r="H7" s="16" t="s">
        <v>92</v>
      </c>
      <c r="I7" s="16" t="s">
        <v>241</v>
      </c>
      <c r="J7" s="16" t="s">
        <v>241</v>
      </c>
      <c r="K7" s="16" t="s">
        <v>241</v>
      </c>
      <c r="L7" s="16">
        <v>14550</v>
      </c>
      <c r="M7" s="16" t="s">
        <v>11</v>
      </c>
      <c r="N7" s="16" t="str">
        <f t="shared" si="3"/>
        <v>مسبق الدفع</v>
      </c>
      <c r="O7" s="18">
        <v>45518</v>
      </c>
      <c r="P7" s="18">
        <v>45538</v>
      </c>
      <c r="Q7" s="18">
        <v>45540</v>
      </c>
      <c r="R7" s="19">
        <f t="shared" si="4"/>
        <v>20</v>
      </c>
      <c r="S7" s="19">
        <f>IF(OR(ISBLANK(bb[[#This Row],[ميعاد الطلب]]),ISBLANK(bb[[#This Row],[تاريخ التسليم]])),0,bb[[#This Row],[تاريخ التسليم]]-bb[[#This Row],[ميعاد الطلب]])</f>
        <v>22</v>
      </c>
      <c r="T7" s="16" t="s">
        <v>213</v>
      </c>
      <c r="U7" s="16" t="s">
        <v>88</v>
      </c>
      <c r="AC7" s="5" t="s">
        <v>166</v>
      </c>
      <c r="AD7" s="5" t="s">
        <v>166</v>
      </c>
    </row>
    <row r="8" spans="1:30" ht="20" hidden="1">
      <c r="A8" s="16" t="s">
        <v>176</v>
      </c>
      <c r="B8" s="16" t="str">
        <f t="shared" si="0"/>
        <v xml:space="preserve">فرد </v>
      </c>
      <c r="C8" s="16" t="str">
        <f t="shared" si="1"/>
        <v>التجمع الخامس</v>
      </c>
      <c r="D8" s="16" t="str">
        <f t="shared" si="2"/>
        <v>الجيزة</v>
      </c>
      <c r="E8" s="16" t="s">
        <v>19</v>
      </c>
      <c r="F8" s="16" t="s">
        <v>20</v>
      </c>
      <c r="G8" s="17" t="s">
        <v>69</v>
      </c>
      <c r="H8" s="16" t="s">
        <v>92</v>
      </c>
      <c r="I8" s="16" t="s">
        <v>241</v>
      </c>
      <c r="J8" s="16" t="s">
        <v>241</v>
      </c>
      <c r="K8" s="16" t="s">
        <v>241</v>
      </c>
      <c r="L8" s="16">
        <v>12000</v>
      </c>
      <c r="M8" s="16">
        <v>12000</v>
      </c>
      <c r="N8" s="16" t="str">
        <f t="shared" si="3"/>
        <v>كاش</v>
      </c>
      <c r="O8" s="18">
        <v>45521</v>
      </c>
      <c r="P8" s="18">
        <v>45524</v>
      </c>
      <c r="Q8" s="18">
        <v>45523</v>
      </c>
      <c r="R8" s="19">
        <f t="shared" si="4"/>
        <v>3</v>
      </c>
      <c r="S8" s="19">
        <f>IF(OR(ISBLANK(bb[[#This Row],[ميعاد الطلب]]),ISBLANK(bb[[#This Row],[تاريخ التسليم]])),0,bb[[#This Row],[تاريخ التسليم]]-bb[[#This Row],[ميعاد الطلب]])</f>
        <v>2</v>
      </c>
      <c r="T8" s="16" t="s">
        <v>213</v>
      </c>
      <c r="U8" s="16" t="s">
        <v>88</v>
      </c>
      <c r="AC8" s="5" t="s">
        <v>19</v>
      </c>
      <c r="AD8" s="5" t="s">
        <v>162</v>
      </c>
    </row>
    <row r="9" spans="1:30" ht="20">
      <c r="A9" s="16" t="s">
        <v>22</v>
      </c>
      <c r="B9" s="16" t="str">
        <f t="shared" si="0"/>
        <v xml:space="preserve">فرد </v>
      </c>
      <c r="C9" s="16" t="str">
        <f t="shared" si="1"/>
        <v xml:space="preserve">٦ اكتوبر الجيزه  </v>
      </c>
      <c r="D9" s="16" t="str">
        <f t="shared" si="2"/>
        <v>القاهرة</v>
      </c>
      <c r="E9" s="16" t="s">
        <v>159</v>
      </c>
      <c r="F9" s="16" t="s">
        <v>5</v>
      </c>
      <c r="G9" s="17" t="s">
        <v>58</v>
      </c>
      <c r="H9" s="16" t="s">
        <v>61</v>
      </c>
      <c r="I9" s="16" t="s">
        <v>241</v>
      </c>
      <c r="J9" s="16" t="s">
        <v>241</v>
      </c>
      <c r="K9" s="16" t="s">
        <v>241</v>
      </c>
      <c r="L9" s="16">
        <v>7228</v>
      </c>
      <c r="M9" s="16" t="s">
        <v>11</v>
      </c>
      <c r="N9" s="16" t="str">
        <f t="shared" si="3"/>
        <v>مسبق الدفع</v>
      </c>
      <c r="O9" s="18">
        <v>45529</v>
      </c>
      <c r="P9" s="18">
        <v>45538</v>
      </c>
      <c r="Q9" s="18">
        <v>45545</v>
      </c>
      <c r="R9" s="19">
        <f t="shared" si="4"/>
        <v>9</v>
      </c>
      <c r="S9" s="19">
        <f>IF(OR(ISBLANK(bb[[#This Row],[ميعاد الطلب]]),ISBLANK(bb[[#This Row],[تاريخ التسليم]])),0,bb[[#This Row],[تاريخ التسليم]]-bb[[#This Row],[ميعاد الطلب]])</f>
        <v>16</v>
      </c>
      <c r="T9" s="16" t="s">
        <v>213</v>
      </c>
      <c r="U9" s="16" t="s">
        <v>88</v>
      </c>
      <c r="AC9" s="5" t="s">
        <v>159</v>
      </c>
      <c r="AD9" s="5" t="s">
        <v>166</v>
      </c>
    </row>
    <row r="10" spans="1:30" ht="20" hidden="1">
      <c r="A10" s="16" t="s">
        <v>173</v>
      </c>
      <c r="B10" s="16" t="str">
        <f t="shared" si="0"/>
        <v xml:space="preserve">شركة </v>
      </c>
      <c r="C10" s="16" t="str">
        <f t="shared" si="1"/>
        <v>العباسية</v>
      </c>
      <c r="D10" s="16" t="str">
        <f t="shared" si="2"/>
        <v>القاهرة</v>
      </c>
      <c r="E10" s="16" t="s">
        <v>167</v>
      </c>
      <c r="F10" s="16" t="s">
        <v>173</v>
      </c>
      <c r="G10" s="17" t="s">
        <v>65</v>
      </c>
      <c r="H10" s="16" t="s">
        <v>67</v>
      </c>
      <c r="I10" s="16" t="s">
        <v>241</v>
      </c>
      <c r="J10" s="16" t="s">
        <v>241</v>
      </c>
      <c r="K10" s="16" t="s">
        <v>241</v>
      </c>
      <c r="L10" s="16">
        <v>22000</v>
      </c>
      <c r="M10" s="16">
        <v>22000</v>
      </c>
      <c r="N10" s="16" t="str">
        <f t="shared" si="3"/>
        <v>كاش</v>
      </c>
      <c r="O10" s="18">
        <v>45523</v>
      </c>
      <c r="P10" s="18">
        <v>45536</v>
      </c>
      <c r="Q10" s="18">
        <v>45552</v>
      </c>
      <c r="R10" s="19">
        <f t="shared" si="4"/>
        <v>13</v>
      </c>
      <c r="S10" s="19">
        <f>IF(OR(ISBLANK(bb[[#This Row],[ميعاد الطلب]]),ISBLANK(bb[[#This Row],[تاريخ التسليم]])),0,bb[[#This Row],[تاريخ التسليم]]-bb[[#This Row],[ميعاد الطلب]])</f>
        <v>29</v>
      </c>
      <c r="T10" s="16" t="s">
        <v>215</v>
      </c>
      <c r="U10" s="16" t="s">
        <v>88</v>
      </c>
      <c r="AC10" s="5" t="s">
        <v>167</v>
      </c>
      <c r="AD10" s="5" t="s">
        <v>166</v>
      </c>
    </row>
    <row r="11" spans="1:30" ht="20" hidden="1">
      <c r="A11" s="16" t="s">
        <v>173</v>
      </c>
      <c r="B11" s="16" t="str">
        <f t="shared" si="0"/>
        <v xml:space="preserve">شركة </v>
      </c>
      <c r="C11" s="16" t="str">
        <f t="shared" si="1"/>
        <v>العباسية</v>
      </c>
      <c r="D11" s="16" t="str">
        <f t="shared" si="2"/>
        <v>القاهرة</v>
      </c>
      <c r="E11" s="16" t="s">
        <v>167</v>
      </c>
      <c r="F11" s="16" t="s">
        <v>172</v>
      </c>
      <c r="G11" s="17" t="s">
        <v>69</v>
      </c>
      <c r="H11" s="16" t="s">
        <v>66</v>
      </c>
      <c r="I11" s="16"/>
      <c r="J11" s="16"/>
      <c r="K11" s="16"/>
      <c r="L11" s="16">
        <v>16000</v>
      </c>
      <c r="M11" s="16">
        <v>16000</v>
      </c>
      <c r="N11" s="16" t="str">
        <f t="shared" si="3"/>
        <v>كاش</v>
      </c>
      <c r="O11" s="18"/>
      <c r="P11" s="18"/>
      <c r="Q11" s="18"/>
      <c r="R11" s="19">
        <f t="shared" si="4"/>
        <v>0</v>
      </c>
      <c r="S11" s="19">
        <f>IF(OR(ISBLANK(bb[[#This Row],[ميعاد الطلب]]),ISBLANK(bb[[#This Row],[تاريخ التسليم]])),0,bb[[#This Row],[تاريخ التسليم]]-bb[[#This Row],[ميعاد الطلب]])</f>
        <v>0</v>
      </c>
      <c r="T11" s="16" t="s">
        <v>170</v>
      </c>
      <c r="U11" s="16" t="s">
        <v>150</v>
      </c>
      <c r="AC11" s="5" t="s">
        <v>167</v>
      </c>
      <c r="AD11" s="5" t="s">
        <v>166</v>
      </c>
    </row>
    <row r="12" spans="1:30" ht="20" hidden="1">
      <c r="A12" s="16" t="s">
        <v>173</v>
      </c>
      <c r="B12" s="16" t="str">
        <f t="shared" si="0"/>
        <v xml:space="preserve">شركة </v>
      </c>
      <c r="C12" s="16" t="str">
        <f t="shared" si="1"/>
        <v xml:space="preserve">العباسية </v>
      </c>
      <c r="D12" s="16" t="str">
        <f t="shared" si="2"/>
        <v>القاهرة</v>
      </c>
      <c r="E12" s="16" t="s">
        <v>169</v>
      </c>
      <c r="F12" s="16" t="s">
        <v>173</v>
      </c>
      <c r="G12" s="17" t="s">
        <v>69</v>
      </c>
      <c r="H12" s="16" t="s">
        <v>66</v>
      </c>
      <c r="I12" s="16" t="s">
        <v>241</v>
      </c>
      <c r="J12" s="16" t="s">
        <v>241</v>
      </c>
      <c r="K12" s="16" t="s">
        <v>241</v>
      </c>
      <c r="L12" s="16">
        <v>6000</v>
      </c>
      <c r="M12" s="16">
        <v>12000</v>
      </c>
      <c r="N12" s="16" t="str">
        <f t="shared" si="3"/>
        <v>كاش</v>
      </c>
      <c r="O12" s="18">
        <v>45529</v>
      </c>
      <c r="P12" s="18">
        <v>45550</v>
      </c>
      <c r="Q12" s="18">
        <v>45552</v>
      </c>
      <c r="R12" s="19">
        <f t="shared" si="4"/>
        <v>21</v>
      </c>
      <c r="S12" s="19">
        <f>IF(OR(ISBLANK(bb[[#This Row],[ميعاد الطلب]]),ISBLANK(bb[[#This Row],[تاريخ التسليم]])),0,bb[[#This Row],[تاريخ التسليم]]-bb[[#This Row],[ميعاد الطلب]])</f>
        <v>23</v>
      </c>
      <c r="T12" s="16" t="s">
        <v>215</v>
      </c>
      <c r="U12" s="16" t="s">
        <v>88</v>
      </c>
      <c r="AC12" s="5" t="s">
        <v>169</v>
      </c>
      <c r="AD12" s="5" t="s">
        <v>166</v>
      </c>
    </row>
    <row r="13" spans="1:30" ht="20" hidden="1">
      <c r="A13" s="16" t="s">
        <v>173</v>
      </c>
      <c r="B13" s="16" t="str">
        <f t="shared" si="0"/>
        <v xml:space="preserve">شركة </v>
      </c>
      <c r="C13" s="16" t="str">
        <f t="shared" si="1"/>
        <v xml:space="preserve">العباسية </v>
      </c>
      <c r="D13" s="16" t="str">
        <f t="shared" si="2"/>
        <v>القاهرة</v>
      </c>
      <c r="E13" s="16" t="s">
        <v>169</v>
      </c>
      <c r="F13" s="16" t="s">
        <v>173</v>
      </c>
      <c r="G13" s="17" t="s">
        <v>69</v>
      </c>
      <c r="H13" s="16" t="s">
        <v>66</v>
      </c>
      <c r="I13" s="16" t="s">
        <v>241</v>
      </c>
      <c r="J13" s="16" t="s">
        <v>241</v>
      </c>
      <c r="K13" s="16" t="s">
        <v>241</v>
      </c>
      <c r="L13" s="16">
        <v>6000</v>
      </c>
      <c r="M13" s="16">
        <v>12000</v>
      </c>
      <c r="N13" s="16" t="str">
        <f t="shared" si="3"/>
        <v>كاش</v>
      </c>
      <c r="O13" s="18">
        <v>45529</v>
      </c>
      <c r="P13" s="18">
        <v>45550</v>
      </c>
      <c r="Q13" s="18">
        <v>45552</v>
      </c>
      <c r="R13" s="19">
        <f t="shared" si="4"/>
        <v>21</v>
      </c>
      <c r="S13" s="19">
        <f>IF(OR(ISBLANK(bb[[#This Row],[ميعاد الطلب]]),ISBLANK(bb[[#This Row],[تاريخ التسليم]])),0,bb[[#This Row],[تاريخ التسليم]]-bb[[#This Row],[ميعاد الطلب]])</f>
        <v>23</v>
      </c>
      <c r="T13" s="16" t="s">
        <v>215</v>
      </c>
      <c r="U13" s="16" t="s">
        <v>88</v>
      </c>
      <c r="AC13" s="5" t="s">
        <v>169</v>
      </c>
      <c r="AD13" s="5" t="s">
        <v>169</v>
      </c>
    </row>
    <row r="14" spans="1:30" ht="20" hidden="1">
      <c r="A14" s="16" t="s">
        <v>177</v>
      </c>
      <c r="B14" s="16" t="str">
        <f t="shared" si="0"/>
        <v xml:space="preserve">فرد </v>
      </c>
      <c r="C14" s="16" t="str">
        <f t="shared" si="1"/>
        <v>مصر الجديده</v>
      </c>
      <c r="D14" s="16" t="str">
        <f t="shared" si="2"/>
        <v>الجيزة</v>
      </c>
      <c r="E14" s="16" t="s">
        <v>23</v>
      </c>
      <c r="F14" s="16" t="s">
        <v>5</v>
      </c>
      <c r="G14" s="17" t="s">
        <v>58</v>
      </c>
      <c r="H14" s="16" t="s">
        <v>145</v>
      </c>
      <c r="I14" s="16" t="s">
        <v>60</v>
      </c>
      <c r="J14" s="16">
        <v>80</v>
      </c>
      <c r="K14" s="16" t="s">
        <v>155</v>
      </c>
      <c r="L14" s="16">
        <v>10499</v>
      </c>
      <c r="M14" s="16">
        <v>8924</v>
      </c>
      <c r="N14" s="16" t="str">
        <f t="shared" si="3"/>
        <v>كاش</v>
      </c>
      <c r="O14" s="18">
        <v>45536</v>
      </c>
      <c r="P14" s="18">
        <v>45551</v>
      </c>
      <c r="Q14" s="18">
        <v>45543</v>
      </c>
      <c r="R14" s="19">
        <f t="shared" si="4"/>
        <v>15</v>
      </c>
      <c r="S14" s="19">
        <f>IF(OR(ISBLANK(bb[[#This Row],[ميعاد الطلب]]),ISBLANK(bb[[#This Row],[تاريخ التسليم]])),0,bb[[#This Row],[تاريخ التسليم]]-bb[[#This Row],[ميعاد الطلب]])</f>
        <v>7</v>
      </c>
      <c r="T14" s="16" t="s">
        <v>213</v>
      </c>
      <c r="U14" s="16" t="s">
        <v>88</v>
      </c>
      <c r="AC14" s="5" t="s">
        <v>23</v>
      </c>
      <c r="AD14" s="5" t="s">
        <v>162</v>
      </c>
    </row>
    <row r="15" spans="1:30" ht="20" hidden="1">
      <c r="A15" s="16" t="s">
        <v>178</v>
      </c>
      <c r="B15" s="16" t="str">
        <f t="shared" si="0"/>
        <v xml:space="preserve">فرد </v>
      </c>
      <c r="C15" s="16" t="str">
        <f t="shared" si="1"/>
        <v xml:space="preserve">٦ اكتوبر الجيزه  </v>
      </c>
      <c r="D15" s="16" t="str">
        <f t="shared" si="2"/>
        <v>القاهرة</v>
      </c>
      <c r="E15" s="16" t="s">
        <v>159</v>
      </c>
      <c r="F15" s="16" t="s">
        <v>5</v>
      </c>
      <c r="G15" s="17" t="s">
        <v>58</v>
      </c>
      <c r="H15" s="16" t="s">
        <v>61</v>
      </c>
      <c r="I15" s="16" t="s">
        <v>60</v>
      </c>
      <c r="J15" s="16">
        <v>80</v>
      </c>
      <c r="K15" s="16" t="s">
        <v>155</v>
      </c>
      <c r="L15" s="16">
        <v>7295</v>
      </c>
      <c r="M15" s="16">
        <v>5895</v>
      </c>
      <c r="N15" s="16" t="str">
        <f t="shared" si="3"/>
        <v>كاش</v>
      </c>
      <c r="O15" s="18">
        <v>45540</v>
      </c>
      <c r="P15" s="18">
        <v>45549</v>
      </c>
      <c r="Q15" s="6"/>
      <c r="R15" s="19">
        <f t="shared" si="4"/>
        <v>9</v>
      </c>
      <c r="S15" s="19">
        <f>IF(OR(ISBLANK(bb[[#This Row],[ميعاد الطلب]]),ISBLANK(bb[[#This Row],[تاريخ التسليم]])),0,bb[[#This Row],[تاريخ التسليم]]-bb[[#This Row],[ميعاد الطلب]])</f>
        <v>0</v>
      </c>
      <c r="T15" s="16" t="s">
        <v>213</v>
      </c>
      <c r="U15" s="16" t="s">
        <v>150</v>
      </c>
      <c r="AC15" s="5" t="s">
        <v>159</v>
      </c>
      <c r="AD15" s="5" t="s">
        <v>166</v>
      </c>
    </row>
    <row r="16" spans="1:30" ht="20">
      <c r="A16" s="16" t="s">
        <v>179</v>
      </c>
      <c r="B16" s="16" t="str">
        <f t="shared" si="0"/>
        <v xml:space="preserve">فرد </v>
      </c>
      <c r="C16" s="16" t="str">
        <f t="shared" si="1"/>
        <v xml:space="preserve">المقطم </v>
      </c>
      <c r="D16" s="16" t="str">
        <f t="shared" si="2"/>
        <v>القاهرة</v>
      </c>
      <c r="E16" s="16" t="s">
        <v>29</v>
      </c>
      <c r="F16" s="16" t="s">
        <v>5</v>
      </c>
      <c r="G16" s="17" t="s">
        <v>136</v>
      </c>
      <c r="H16" s="16" t="s">
        <v>83</v>
      </c>
      <c r="I16" s="16"/>
      <c r="J16" s="16"/>
      <c r="K16" s="16"/>
      <c r="L16" s="16">
        <v>7849</v>
      </c>
      <c r="M16" s="16" t="s">
        <v>11</v>
      </c>
      <c r="N16" s="16" t="str">
        <f t="shared" si="3"/>
        <v>مسبق الدفع</v>
      </c>
      <c r="O16" s="18">
        <v>45539</v>
      </c>
      <c r="P16" s="18">
        <v>45551</v>
      </c>
      <c r="Q16" s="18">
        <v>45560</v>
      </c>
      <c r="R16" s="19">
        <f t="shared" si="4"/>
        <v>12</v>
      </c>
      <c r="S16" s="19">
        <f>IF(OR(ISBLANK(bb[[#This Row],[ميعاد الطلب]]),ISBLANK(bb[[#This Row],[تاريخ التسليم]])),0,bb[[#This Row],[تاريخ التسليم]]-bb[[#This Row],[ميعاد الطلب]])</f>
        <v>21</v>
      </c>
      <c r="T16" s="16" t="s">
        <v>213</v>
      </c>
      <c r="U16" s="16" t="s">
        <v>93</v>
      </c>
      <c r="AC16" s="5" t="s">
        <v>29</v>
      </c>
      <c r="AD16" s="5" t="s">
        <v>166</v>
      </c>
    </row>
    <row r="17" spans="1:30" ht="20" hidden="1">
      <c r="A17" s="16" t="s">
        <v>180</v>
      </c>
      <c r="B17" s="16" t="str">
        <f t="shared" si="0"/>
        <v xml:space="preserve">فرد </v>
      </c>
      <c r="C17" s="16" t="str">
        <f t="shared" si="1"/>
        <v xml:space="preserve">التجمع الخامس </v>
      </c>
      <c r="D17" s="16" t="str">
        <f t="shared" si="2"/>
        <v>القاهرة</v>
      </c>
      <c r="E17" s="16" t="s">
        <v>25</v>
      </c>
      <c r="F17" s="16" t="s">
        <v>26</v>
      </c>
      <c r="G17" s="17" t="s">
        <v>58</v>
      </c>
      <c r="H17" s="16" t="s">
        <v>145</v>
      </c>
      <c r="I17" s="16" t="s">
        <v>63</v>
      </c>
      <c r="J17" s="16">
        <v>120</v>
      </c>
      <c r="K17" s="16" t="s">
        <v>156</v>
      </c>
      <c r="L17" s="16">
        <v>6180</v>
      </c>
      <c r="M17" s="16">
        <v>9700</v>
      </c>
      <c r="N17" s="16" t="str">
        <f t="shared" si="3"/>
        <v>كاش</v>
      </c>
      <c r="O17" s="18">
        <v>45538</v>
      </c>
      <c r="P17" s="18">
        <v>45551</v>
      </c>
      <c r="Q17" s="18">
        <v>45550</v>
      </c>
      <c r="R17" s="19">
        <f t="shared" si="4"/>
        <v>13</v>
      </c>
      <c r="S17" s="19">
        <f>IF(OR(ISBLANK(bb[[#This Row],[ميعاد الطلب]]),ISBLANK(bb[[#This Row],[تاريخ التسليم]])),0,bb[[#This Row],[تاريخ التسليم]]-bb[[#This Row],[ميعاد الطلب]])</f>
        <v>12</v>
      </c>
      <c r="T17" s="16" t="s">
        <v>215</v>
      </c>
      <c r="U17" s="16" t="s">
        <v>88</v>
      </c>
      <c r="AC17" s="5" t="s">
        <v>25</v>
      </c>
      <c r="AD17" s="5" t="s">
        <v>166</v>
      </c>
    </row>
    <row r="18" spans="1:30" ht="20" hidden="1">
      <c r="A18" s="16" t="s">
        <v>180</v>
      </c>
      <c r="B18" s="16" t="str">
        <f t="shared" si="0"/>
        <v xml:space="preserve">فرد </v>
      </c>
      <c r="C18" s="16" t="str">
        <f t="shared" si="1"/>
        <v xml:space="preserve">التجمع الخامس </v>
      </c>
      <c r="D18" s="16" t="str">
        <f t="shared" si="2"/>
        <v>القاهرة</v>
      </c>
      <c r="E18" s="16" t="s">
        <v>25</v>
      </c>
      <c r="F18" s="16" t="s">
        <v>26</v>
      </c>
      <c r="G18" s="17" t="s">
        <v>58</v>
      </c>
      <c r="H18" s="16" t="s">
        <v>145</v>
      </c>
      <c r="I18" s="16" t="s">
        <v>63</v>
      </c>
      <c r="J18" s="16">
        <v>120</v>
      </c>
      <c r="K18" s="16" t="s">
        <v>156</v>
      </c>
      <c r="L18" s="16">
        <v>6180</v>
      </c>
      <c r="M18" s="16">
        <v>9700</v>
      </c>
      <c r="N18" s="16" t="str">
        <f t="shared" si="3"/>
        <v>كاش</v>
      </c>
      <c r="O18" s="18">
        <v>45538</v>
      </c>
      <c r="P18" s="18">
        <v>45551</v>
      </c>
      <c r="Q18" s="18">
        <v>45550</v>
      </c>
      <c r="R18" s="19">
        <f t="shared" si="4"/>
        <v>13</v>
      </c>
      <c r="S18" s="19">
        <f>IF(OR(ISBLANK(bb[[#This Row],[ميعاد الطلب]]),ISBLANK(bb[[#This Row],[تاريخ التسليم]])),0,bb[[#This Row],[تاريخ التسليم]]-bb[[#This Row],[ميعاد الطلب]])</f>
        <v>12</v>
      </c>
      <c r="T18" s="16" t="s">
        <v>215</v>
      </c>
      <c r="U18" s="16" t="s">
        <v>88</v>
      </c>
      <c r="AC18" s="5" t="s">
        <v>25</v>
      </c>
      <c r="AD18" s="5" t="s">
        <v>166</v>
      </c>
    </row>
    <row r="19" spans="1:30" ht="20" hidden="1">
      <c r="A19" s="16" t="s">
        <v>27</v>
      </c>
      <c r="B19" s="16" t="str">
        <f t="shared" si="0"/>
        <v xml:space="preserve">فرد </v>
      </c>
      <c r="C19" s="16" t="str">
        <f t="shared" si="1"/>
        <v xml:space="preserve">مدينه نصر </v>
      </c>
      <c r="D19" s="16" t="str">
        <f t="shared" si="2"/>
        <v>القاهرة</v>
      </c>
      <c r="E19" s="16" t="s">
        <v>28</v>
      </c>
      <c r="F19" s="16" t="s">
        <v>5</v>
      </c>
      <c r="G19" s="17" t="s">
        <v>58</v>
      </c>
      <c r="H19" s="16" t="s">
        <v>145</v>
      </c>
      <c r="I19" s="16" t="s">
        <v>62</v>
      </c>
      <c r="J19" s="16">
        <v>80</v>
      </c>
      <c r="K19" s="16" t="s">
        <v>155</v>
      </c>
      <c r="L19" s="16">
        <v>11199</v>
      </c>
      <c r="M19" s="16">
        <v>11310</v>
      </c>
      <c r="N19" s="16" t="str">
        <f t="shared" si="3"/>
        <v>كاش</v>
      </c>
      <c r="O19" s="18">
        <v>45539</v>
      </c>
      <c r="P19" s="18">
        <v>45553</v>
      </c>
      <c r="Q19" s="18"/>
      <c r="R19" s="19">
        <f t="shared" si="4"/>
        <v>14</v>
      </c>
      <c r="S19" s="19">
        <f>IF(OR(ISBLANK(bb[[#This Row],[ميعاد الطلب]]),ISBLANK(bb[[#This Row],[تاريخ التسليم]])),0,bb[[#This Row],[تاريخ التسليم]]-bb[[#This Row],[ميعاد الطلب]])</f>
        <v>0</v>
      </c>
      <c r="T19" s="16" t="s">
        <v>170</v>
      </c>
      <c r="U19" s="16" t="s">
        <v>150</v>
      </c>
      <c r="AC19" s="5" t="s">
        <v>28</v>
      </c>
      <c r="AD19" s="5" t="s">
        <v>166</v>
      </c>
    </row>
    <row r="20" spans="1:30" ht="20">
      <c r="A20" s="16" t="s">
        <v>176</v>
      </c>
      <c r="B20" s="16" t="str">
        <f t="shared" si="0"/>
        <v xml:space="preserve">فرد </v>
      </c>
      <c r="C20" s="16" t="str">
        <f t="shared" si="1"/>
        <v>القاهره الجديده</v>
      </c>
      <c r="D20" s="16" t="str">
        <f t="shared" si="2"/>
        <v>القاهرة</v>
      </c>
      <c r="E20" s="16" t="s">
        <v>30</v>
      </c>
      <c r="F20" s="16" t="s">
        <v>5</v>
      </c>
      <c r="G20" s="17" t="s">
        <v>58</v>
      </c>
      <c r="H20" s="16" t="s">
        <v>61</v>
      </c>
      <c r="I20" s="16" t="s">
        <v>78</v>
      </c>
      <c r="J20" s="16">
        <v>80</v>
      </c>
      <c r="K20" s="16" t="s">
        <v>155</v>
      </c>
      <c r="L20" s="16">
        <v>7987</v>
      </c>
      <c r="M20" s="16" t="s">
        <v>11</v>
      </c>
      <c r="N20" s="16" t="str">
        <f t="shared" si="3"/>
        <v>مسبق الدفع</v>
      </c>
      <c r="O20" s="18">
        <v>45541</v>
      </c>
      <c r="P20" s="18">
        <v>45551</v>
      </c>
      <c r="Q20" s="18">
        <v>45556</v>
      </c>
      <c r="R20" s="19">
        <f t="shared" si="4"/>
        <v>10</v>
      </c>
      <c r="S20" s="19">
        <f>IF(OR(ISBLANK(bb[[#This Row],[ميعاد الطلب]]),ISBLANK(bb[[#This Row],[تاريخ التسليم]])),0,bb[[#This Row],[تاريخ التسليم]]-bb[[#This Row],[ميعاد الطلب]])</f>
        <v>15</v>
      </c>
      <c r="T20" s="16" t="s">
        <v>215</v>
      </c>
      <c r="U20" s="16" t="s">
        <v>88</v>
      </c>
      <c r="AC20" s="5" t="s">
        <v>30</v>
      </c>
      <c r="AD20" s="5" t="s">
        <v>166</v>
      </c>
    </row>
    <row r="21" spans="1:30" ht="20" hidden="1">
      <c r="A21" s="16" t="s">
        <v>173</v>
      </c>
      <c r="B21" s="16" t="str">
        <f t="shared" si="0"/>
        <v xml:space="preserve">شركة </v>
      </c>
      <c r="C21" s="16" t="str">
        <f t="shared" si="1"/>
        <v>العباسية</v>
      </c>
      <c r="D21" s="16" t="str">
        <f t="shared" si="2"/>
        <v>القاهرة</v>
      </c>
      <c r="E21" s="16" t="s">
        <v>167</v>
      </c>
      <c r="F21" s="16" t="s">
        <v>173</v>
      </c>
      <c r="G21" s="17" t="s">
        <v>68</v>
      </c>
      <c r="H21" s="16" t="s">
        <v>99</v>
      </c>
      <c r="I21" s="16" t="s">
        <v>241</v>
      </c>
      <c r="J21" s="16" t="s">
        <v>241</v>
      </c>
      <c r="K21" s="16" t="s">
        <v>241</v>
      </c>
      <c r="L21" s="16">
        <v>9300</v>
      </c>
      <c r="M21" s="16">
        <v>9300</v>
      </c>
      <c r="N21" s="16" t="str">
        <f t="shared" si="3"/>
        <v>كاش</v>
      </c>
      <c r="O21" s="18">
        <v>45539</v>
      </c>
      <c r="P21" s="18">
        <v>45550</v>
      </c>
      <c r="Q21" s="18">
        <v>45552</v>
      </c>
      <c r="R21" s="19">
        <f t="shared" si="4"/>
        <v>11</v>
      </c>
      <c r="S21" s="19">
        <f>IF(OR(ISBLANK(bb[[#This Row],[ميعاد الطلب]]),ISBLANK(bb[[#This Row],[تاريخ التسليم]])),0,bb[[#This Row],[تاريخ التسليم]]-bb[[#This Row],[ميعاد الطلب]])</f>
        <v>13</v>
      </c>
      <c r="T21" s="16" t="s">
        <v>215</v>
      </c>
      <c r="U21" s="16" t="s">
        <v>88</v>
      </c>
      <c r="AC21" s="5" t="s">
        <v>167</v>
      </c>
      <c r="AD21" s="5" t="s">
        <v>166</v>
      </c>
    </row>
    <row r="22" spans="1:30" ht="20">
      <c r="A22" s="16" t="s">
        <v>176</v>
      </c>
      <c r="B22" s="16" t="str">
        <f t="shared" si="0"/>
        <v xml:space="preserve">فرد </v>
      </c>
      <c r="C22" s="16" t="str">
        <f t="shared" si="1"/>
        <v>القاهره الجديده</v>
      </c>
      <c r="D22" s="16" t="str">
        <f t="shared" si="2"/>
        <v>القاهرة</v>
      </c>
      <c r="E22" s="16" t="s">
        <v>30</v>
      </c>
      <c r="F22" s="16" t="s">
        <v>5</v>
      </c>
      <c r="G22" s="17" t="s">
        <v>58</v>
      </c>
      <c r="H22" s="16" t="s">
        <v>61</v>
      </c>
      <c r="I22" s="16" t="s">
        <v>78</v>
      </c>
      <c r="J22" s="16">
        <v>80</v>
      </c>
      <c r="K22" s="16" t="s">
        <v>155</v>
      </c>
      <c r="L22" s="16">
        <v>7987</v>
      </c>
      <c r="M22" s="16" t="s">
        <v>11</v>
      </c>
      <c r="N22" s="16" t="str">
        <f t="shared" ref="N22:N26" si="5">IF(ISNUMBER(M22),"كاش", M22)</f>
        <v>مسبق الدفع</v>
      </c>
      <c r="O22" s="18">
        <v>45541</v>
      </c>
      <c r="P22" s="18">
        <v>45551</v>
      </c>
      <c r="Q22" s="18">
        <v>45556</v>
      </c>
      <c r="R22" s="19">
        <f t="shared" si="4"/>
        <v>10</v>
      </c>
      <c r="S22" s="19">
        <f>IF(OR(ISBLANK(bb[[#This Row],[ميعاد الطلب]]),ISBLANK(bb[[#This Row],[تاريخ التسليم]])),0,bb[[#This Row],[تاريخ التسليم]]-bb[[#This Row],[ميعاد الطلب]])</f>
        <v>15</v>
      </c>
      <c r="T22" s="16" t="s">
        <v>215</v>
      </c>
      <c r="U22" s="16" t="s">
        <v>88</v>
      </c>
      <c r="AC22" s="5" t="s">
        <v>30</v>
      </c>
      <c r="AD22" s="5" t="s">
        <v>166</v>
      </c>
    </row>
    <row r="23" spans="1:30" ht="20">
      <c r="A23" s="16" t="s">
        <v>176</v>
      </c>
      <c r="B23" s="16" t="str">
        <f t="shared" si="0"/>
        <v xml:space="preserve">فرد </v>
      </c>
      <c r="C23" s="16" t="str">
        <f t="shared" si="1"/>
        <v>القاهره الجديده</v>
      </c>
      <c r="D23" s="16" t="str">
        <f t="shared" si="2"/>
        <v>القاهرة</v>
      </c>
      <c r="E23" s="16" t="s">
        <v>30</v>
      </c>
      <c r="F23" s="16" t="s">
        <v>5</v>
      </c>
      <c r="G23" s="17" t="s">
        <v>58</v>
      </c>
      <c r="H23" s="16" t="s">
        <v>61</v>
      </c>
      <c r="I23" s="16" t="s">
        <v>78</v>
      </c>
      <c r="J23" s="16">
        <v>80</v>
      </c>
      <c r="K23" s="16" t="s">
        <v>155</v>
      </c>
      <c r="L23" s="16">
        <v>7987</v>
      </c>
      <c r="M23" s="16" t="s">
        <v>11</v>
      </c>
      <c r="N23" s="16" t="str">
        <f t="shared" si="5"/>
        <v>مسبق الدفع</v>
      </c>
      <c r="O23" s="18">
        <v>45541</v>
      </c>
      <c r="P23" s="18">
        <v>45551</v>
      </c>
      <c r="Q23" s="18">
        <v>45556</v>
      </c>
      <c r="R23" s="19">
        <f t="shared" si="4"/>
        <v>10</v>
      </c>
      <c r="S23" s="19">
        <f>IF(OR(ISBLANK(bb[[#This Row],[ميعاد الطلب]]),ISBLANK(bb[[#This Row],[تاريخ التسليم]])),0,bb[[#This Row],[تاريخ التسليم]]-bb[[#This Row],[ميعاد الطلب]])</f>
        <v>15</v>
      </c>
      <c r="T23" s="16" t="s">
        <v>215</v>
      </c>
      <c r="U23" s="16" t="s">
        <v>88</v>
      </c>
      <c r="AC23" s="5" t="s">
        <v>30</v>
      </c>
      <c r="AD23" s="5" t="s">
        <v>166</v>
      </c>
    </row>
    <row r="24" spans="1:30" ht="20">
      <c r="A24" s="16" t="s">
        <v>176</v>
      </c>
      <c r="B24" s="16" t="str">
        <f t="shared" si="0"/>
        <v xml:space="preserve">فرد </v>
      </c>
      <c r="C24" s="16" t="str">
        <f t="shared" si="1"/>
        <v>القاهره الجديده</v>
      </c>
      <c r="D24" s="16" t="str">
        <f t="shared" si="2"/>
        <v>القاهرة</v>
      </c>
      <c r="E24" s="16" t="s">
        <v>30</v>
      </c>
      <c r="F24" s="16" t="s">
        <v>5</v>
      </c>
      <c r="G24" s="17" t="s">
        <v>58</v>
      </c>
      <c r="H24" s="16" t="s">
        <v>61</v>
      </c>
      <c r="I24" s="16" t="s">
        <v>78</v>
      </c>
      <c r="J24" s="16">
        <v>80</v>
      </c>
      <c r="K24" s="16" t="s">
        <v>155</v>
      </c>
      <c r="L24" s="16">
        <v>7987</v>
      </c>
      <c r="M24" s="16" t="s">
        <v>11</v>
      </c>
      <c r="N24" s="16" t="str">
        <f t="shared" si="5"/>
        <v>مسبق الدفع</v>
      </c>
      <c r="O24" s="18">
        <v>45541</v>
      </c>
      <c r="P24" s="18">
        <v>45551</v>
      </c>
      <c r="Q24" s="18">
        <v>45556</v>
      </c>
      <c r="R24" s="19">
        <f t="shared" si="4"/>
        <v>10</v>
      </c>
      <c r="S24" s="19">
        <f>IF(OR(ISBLANK(bb[[#This Row],[ميعاد الطلب]]),ISBLANK(bb[[#This Row],[تاريخ التسليم]])),0,bb[[#This Row],[تاريخ التسليم]]-bb[[#This Row],[ميعاد الطلب]])</f>
        <v>15</v>
      </c>
      <c r="T24" s="16" t="s">
        <v>215</v>
      </c>
      <c r="U24" s="16" t="s">
        <v>88</v>
      </c>
      <c r="AC24" s="5" t="s">
        <v>30</v>
      </c>
      <c r="AD24" s="5" t="s">
        <v>166</v>
      </c>
    </row>
    <row r="25" spans="1:30" ht="20">
      <c r="A25" s="16" t="s">
        <v>42</v>
      </c>
      <c r="B25" s="16" t="str">
        <f t="shared" si="0"/>
        <v xml:space="preserve">فرد </v>
      </c>
      <c r="C25" s="16" t="str">
        <f t="shared" si="1"/>
        <v>المعادى</v>
      </c>
      <c r="D25" s="16" t="str">
        <f t="shared" si="2"/>
        <v>الجيزة</v>
      </c>
      <c r="E25" s="16" t="s">
        <v>43</v>
      </c>
      <c r="F25" s="16" t="s">
        <v>5</v>
      </c>
      <c r="G25" s="17" t="s">
        <v>136</v>
      </c>
      <c r="H25" s="16" t="s">
        <v>83</v>
      </c>
      <c r="I25" s="16"/>
      <c r="J25" s="16"/>
      <c r="K25" s="16"/>
      <c r="L25" s="16">
        <v>8849</v>
      </c>
      <c r="M25" s="16" t="s">
        <v>11</v>
      </c>
      <c r="N25" s="16" t="str">
        <f t="shared" si="5"/>
        <v>مسبق الدفع</v>
      </c>
      <c r="O25" s="18">
        <v>45538</v>
      </c>
      <c r="P25" s="18">
        <v>45581</v>
      </c>
      <c r="Q25" s="18"/>
      <c r="R25" s="19">
        <f t="shared" si="4"/>
        <v>43</v>
      </c>
      <c r="S25" s="19">
        <f>IF(OR(ISBLANK(bb[[#This Row],[ميعاد الطلب]]),ISBLANK(bb[[#This Row],[تاريخ التسليم]])),0,bb[[#This Row],[تاريخ التسليم]]-bb[[#This Row],[ميعاد الطلب]])</f>
        <v>0</v>
      </c>
      <c r="T25" s="16" t="s">
        <v>170</v>
      </c>
      <c r="U25" s="16" t="s">
        <v>150</v>
      </c>
      <c r="AC25" s="5" t="s">
        <v>43</v>
      </c>
      <c r="AD25" s="5" t="s">
        <v>162</v>
      </c>
    </row>
    <row r="26" spans="1:30" ht="20">
      <c r="A26" s="16" t="s">
        <v>31</v>
      </c>
      <c r="B26" s="16" t="str">
        <f t="shared" si="0"/>
        <v xml:space="preserve">فرد </v>
      </c>
      <c r="C26" s="16" t="str">
        <f t="shared" si="1"/>
        <v xml:space="preserve">٦ اكتوبر الجيزه  </v>
      </c>
      <c r="D26" s="16" t="str">
        <f t="shared" si="2"/>
        <v>القاهرة</v>
      </c>
      <c r="E26" s="16" t="s">
        <v>159</v>
      </c>
      <c r="F26" s="16" t="s">
        <v>5</v>
      </c>
      <c r="G26" s="17" t="s">
        <v>58</v>
      </c>
      <c r="H26" s="16" t="s">
        <v>61</v>
      </c>
      <c r="I26" s="16" t="s">
        <v>64</v>
      </c>
      <c r="J26" s="16">
        <v>120</v>
      </c>
      <c r="K26" s="16" t="s">
        <v>155</v>
      </c>
      <c r="L26" s="16">
        <v>10987</v>
      </c>
      <c r="M26" s="16" t="s">
        <v>11</v>
      </c>
      <c r="N26" s="16" t="str">
        <f t="shared" si="5"/>
        <v>مسبق الدفع</v>
      </c>
      <c r="O26" s="18">
        <v>45544</v>
      </c>
      <c r="P26" s="18">
        <v>45552</v>
      </c>
      <c r="Q26" s="18">
        <v>45556</v>
      </c>
      <c r="R26" s="19">
        <f t="shared" si="4"/>
        <v>8</v>
      </c>
      <c r="S26" s="19">
        <f>IF(OR(ISBLANK(bb[[#This Row],[ميعاد الطلب]]),ISBLANK(bb[[#This Row],[تاريخ التسليم]])),0,bb[[#This Row],[تاريخ التسليم]]-bb[[#This Row],[ميعاد الطلب]])</f>
        <v>12</v>
      </c>
      <c r="T26" s="16" t="s">
        <v>215</v>
      </c>
      <c r="U26" s="16" t="s">
        <v>88</v>
      </c>
      <c r="AC26" s="5" t="s">
        <v>159</v>
      </c>
      <c r="AD26" s="5" t="s">
        <v>168</v>
      </c>
    </row>
    <row r="27" spans="1:30" ht="20" hidden="1">
      <c r="A27" s="16" t="s">
        <v>24</v>
      </c>
      <c r="B27" s="16" t="str">
        <f t="shared" si="0"/>
        <v xml:space="preserve">شركة </v>
      </c>
      <c r="C27" s="16" t="str">
        <f t="shared" si="1"/>
        <v>القاهرة</v>
      </c>
      <c r="D27" s="16" t="str">
        <f t="shared" si="2"/>
        <v>القاهرة</v>
      </c>
      <c r="E27" s="20" t="s">
        <v>166</v>
      </c>
      <c r="F27" s="16" t="s">
        <v>18</v>
      </c>
      <c r="G27" s="17" t="s">
        <v>58</v>
      </c>
      <c r="H27" s="16" t="s">
        <v>145</v>
      </c>
      <c r="I27" s="16" t="s">
        <v>62</v>
      </c>
      <c r="J27" s="16">
        <v>100</v>
      </c>
      <c r="K27" s="16" t="s">
        <v>155</v>
      </c>
      <c r="L27" s="16">
        <v>9208</v>
      </c>
      <c r="M27" s="16">
        <v>5781.75</v>
      </c>
      <c r="N27" s="16" t="str">
        <f>IF(ISNUMBER(M27),"كاش", M27)</f>
        <v>كاش</v>
      </c>
      <c r="O27" s="18">
        <v>45536</v>
      </c>
      <c r="P27" s="18">
        <v>45554</v>
      </c>
      <c r="Q27" s="18">
        <v>45556</v>
      </c>
      <c r="R27" s="19">
        <f t="shared" si="4"/>
        <v>18</v>
      </c>
      <c r="S27" s="19">
        <f>IF(OR(ISBLANK(bb[[#This Row],[ميعاد الطلب]]),ISBLANK(bb[[#This Row],[تاريخ التسليم]])),0,bb[[#This Row],[تاريخ التسليم]]-bb[[#This Row],[ميعاد الطلب]])</f>
        <v>20</v>
      </c>
      <c r="T27" s="16" t="s">
        <v>215</v>
      </c>
      <c r="U27" s="16" t="s">
        <v>88</v>
      </c>
      <c r="AC27" s="5" t="s">
        <v>168</v>
      </c>
      <c r="AD27" s="5" t="s">
        <v>168</v>
      </c>
    </row>
    <row r="28" spans="1:30" ht="20" hidden="1">
      <c r="A28" s="16" t="s">
        <v>24</v>
      </c>
      <c r="B28" s="16" t="str">
        <f t="shared" si="0"/>
        <v xml:space="preserve">شركة </v>
      </c>
      <c r="C28" s="16" t="str">
        <f t="shared" si="1"/>
        <v>القاهرة</v>
      </c>
      <c r="D28" s="16" t="str">
        <f t="shared" si="2"/>
        <v>القاهرة</v>
      </c>
      <c r="E28" s="20" t="s">
        <v>166</v>
      </c>
      <c r="F28" s="16" t="s">
        <v>24</v>
      </c>
      <c r="G28" s="17" t="s">
        <v>58</v>
      </c>
      <c r="H28" s="16" t="s">
        <v>145</v>
      </c>
      <c r="I28" s="16" t="s">
        <v>62</v>
      </c>
      <c r="J28" s="16">
        <v>100</v>
      </c>
      <c r="K28" s="16" t="s">
        <v>156</v>
      </c>
      <c r="L28" s="16">
        <v>9208</v>
      </c>
      <c r="M28" s="16">
        <v>1278.53</v>
      </c>
      <c r="N28" s="16" t="str">
        <f>IF(ISNUMBER(M28),"كاش", M28)</f>
        <v>كاش</v>
      </c>
      <c r="O28" s="18">
        <v>45536</v>
      </c>
      <c r="P28" s="18">
        <v>45554</v>
      </c>
      <c r="Q28" s="18">
        <v>45556</v>
      </c>
      <c r="R28" s="19">
        <f t="shared" si="4"/>
        <v>18</v>
      </c>
      <c r="S28" s="19">
        <f>IF(OR(ISBLANK(bb[[#This Row],[ميعاد الطلب]]),ISBLANK(bb[[#This Row],[تاريخ التسليم]])),0,bb[[#This Row],[تاريخ التسليم]]-bb[[#This Row],[ميعاد الطلب]])</f>
        <v>20</v>
      </c>
      <c r="T28" s="16" t="s">
        <v>215</v>
      </c>
      <c r="U28" s="16" t="s">
        <v>88</v>
      </c>
      <c r="AC28" s="5" t="s">
        <v>168</v>
      </c>
      <c r="AD28" s="5" t="s">
        <v>168</v>
      </c>
    </row>
    <row r="29" spans="1:30" ht="20" hidden="1">
      <c r="A29" s="16" t="s">
        <v>36</v>
      </c>
      <c r="B29" s="16" t="str">
        <f t="shared" si="0"/>
        <v xml:space="preserve">شركة </v>
      </c>
      <c r="C29" s="16" t="str">
        <f t="shared" si="1"/>
        <v xml:space="preserve">مخزن اوسكار في القناطر </v>
      </c>
      <c r="D29" s="16" t="str">
        <f t="shared" si="2"/>
        <v>القليوبية</v>
      </c>
      <c r="E29" s="16" t="s">
        <v>37</v>
      </c>
      <c r="F29" s="16" t="s">
        <v>26</v>
      </c>
      <c r="G29" s="17" t="s">
        <v>58</v>
      </c>
      <c r="H29" s="16" t="s">
        <v>61</v>
      </c>
      <c r="I29" s="16" t="s">
        <v>78</v>
      </c>
      <c r="J29" s="16">
        <v>120</v>
      </c>
      <c r="K29" s="16" t="s">
        <v>155</v>
      </c>
      <c r="L29" s="16">
        <v>4020</v>
      </c>
      <c r="M29" s="16" t="s">
        <v>38</v>
      </c>
      <c r="N29" s="16" t="str">
        <f>IF(ISNUMBER(M29),"كاش", M29)</f>
        <v>حساب شركه</v>
      </c>
      <c r="O29" s="18">
        <v>45547</v>
      </c>
      <c r="P29" s="18">
        <v>45556</v>
      </c>
      <c r="Q29" s="18">
        <v>45557</v>
      </c>
      <c r="R29" s="19">
        <f t="shared" si="4"/>
        <v>9</v>
      </c>
      <c r="S29" s="19">
        <f>IF(OR(ISBLANK(bb[[#This Row],[ميعاد الطلب]]),ISBLANK(bb[[#This Row],[تاريخ التسليم]])),0,bb[[#This Row],[تاريخ التسليم]]-bb[[#This Row],[ميعاد الطلب]])</f>
        <v>10</v>
      </c>
      <c r="T29" s="16" t="s">
        <v>215</v>
      </c>
      <c r="U29" s="16" t="s">
        <v>88</v>
      </c>
      <c r="AC29" s="5" t="s">
        <v>37</v>
      </c>
      <c r="AD29" s="5" t="s">
        <v>168</v>
      </c>
    </row>
    <row r="30" spans="1:30" ht="20" hidden="1">
      <c r="A30" s="16" t="s">
        <v>36</v>
      </c>
      <c r="B30" s="16" t="str">
        <f t="shared" si="0"/>
        <v xml:space="preserve">شركة </v>
      </c>
      <c r="C30" s="16" t="str">
        <f t="shared" si="1"/>
        <v xml:space="preserve">مخزن اوسكار في القناطر </v>
      </c>
      <c r="D30" s="16" t="str">
        <f t="shared" si="2"/>
        <v>القليوبية</v>
      </c>
      <c r="E30" s="16" t="s">
        <v>37</v>
      </c>
      <c r="F30" s="16" t="s">
        <v>26</v>
      </c>
      <c r="G30" s="17" t="s">
        <v>58</v>
      </c>
      <c r="H30" s="16" t="s">
        <v>61</v>
      </c>
      <c r="I30" s="16" t="s">
        <v>78</v>
      </c>
      <c r="J30" s="16">
        <v>120</v>
      </c>
      <c r="K30" s="16" t="s">
        <v>155</v>
      </c>
      <c r="L30" s="16">
        <v>4020</v>
      </c>
      <c r="M30" s="16" t="s">
        <v>38</v>
      </c>
      <c r="N30" s="16" t="str">
        <f>IF(ISNUMBER(M30),"كاش", M30)</f>
        <v>حساب شركه</v>
      </c>
      <c r="O30" s="18">
        <v>45547</v>
      </c>
      <c r="P30" s="18">
        <v>45556</v>
      </c>
      <c r="Q30" s="18">
        <v>45557</v>
      </c>
      <c r="R30" s="19">
        <f t="shared" si="4"/>
        <v>9</v>
      </c>
      <c r="S30" s="19">
        <f>IF(OR(ISBLANK(bb[[#This Row],[ميعاد الطلب]]),ISBLANK(bb[[#This Row],[تاريخ التسليم]])),0,bb[[#This Row],[تاريخ التسليم]]-bb[[#This Row],[ميعاد الطلب]])</f>
        <v>10</v>
      </c>
      <c r="T30" s="16" t="s">
        <v>215</v>
      </c>
      <c r="U30" s="16" t="s">
        <v>88</v>
      </c>
      <c r="AC30" s="5" t="s">
        <v>37</v>
      </c>
      <c r="AD30" s="5" t="s">
        <v>96</v>
      </c>
    </row>
    <row r="31" spans="1:30" ht="20">
      <c r="A31" s="16" t="s">
        <v>36</v>
      </c>
      <c r="B31" s="16" t="str">
        <f t="shared" si="0"/>
        <v xml:space="preserve">شركة </v>
      </c>
      <c r="C31" s="16" t="str">
        <f t="shared" si="1"/>
        <v xml:space="preserve">مخزن اوسكار في القناطر </v>
      </c>
      <c r="D31" s="16" t="str">
        <f t="shared" si="2"/>
        <v>القليوبية</v>
      </c>
      <c r="E31" s="16" t="s">
        <v>37</v>
      </c>
      <c r="F31" s="16" t="s">
        <v>26</v>
      </c>
      <c r="G31" s="17" t="s">
        <v>58</v>
      </c>
      <c r="H31" s="16" t="s">
        <v>61</v>
      </c>
      <c r="I31" s="16" t="s">
        <v>70</v>
      </c>
      <c r="J31" s="16">
        <v>120</v>
      </c>
      <c r="K31" s="16" t="s">
        <v>156</v>
      </c>
      <c r="L31" s="16">
        <v>4020</v>
      </c>
      <c r="M31" s="16" t="s">
        <v>11</v>
      </c>
      <c r="N31" s="16" t="str">
        <f t="shared" ref="N31:N35" si="6">IF(ISNUMBER(M31),"كاش", M31)</f>
        <v>مسبق الدفع</v>
      </c>
      <c r="O31" s="18">
        <v>45547</v>
      </c>
      <c r="P31" s="18">
        <v>45556</v>
      </c>
      <c r="Q31" s="18">
        <v>45557</v>
      </c>
      <c r="R31" s="19">
        <f t="shared" si="4"/>
        <v>9</v>
      </c>
      <c r="S31" s="19">
        <f>IF(OR(ISBLANK(bb[[#This Row],[ميعاد الطلب]]),ISBLANK(bb[[#This Row],[تاريخ التسليم]])),0,bb[[#This Row],[تاريخ التسليم]]-bb[[#This Row],[ميعاد الطلب]])</f>
        <v>10</v>
      </c>
      <c r="T31" s="16" t="s">
        <v>215</v>
      </c>
      <c r="U31" s="16" t="s">
        <v>88</v>
      </c>
      <c r="AC31" s="5" t="s">
        <v>37</v>
      </c>
      <c r="AD31" s="5" t="s">
        <v>163</v>
      </c>
    </row>
    <row r="32" spans="1:30" ht="20">
      <c r="A32" s="16" t="s">
        <v>36</v>
      </c>
      <c r="B32" s="16" t="str">
        <f t="shared" si="0"/>
        <v xml:space="preserve">شركة </v>
      </c>
      <c r="C32" s="16" t="str">
        <f t="shared" si="1"/>
        <v xml:space="preserve">مخزن اوسكار في القناطر </v>
      </c>
      <c r="D32" s="16" t="str">
        <f t="shared" si="2"/>
        <v>القليوبية</v>
      </c>
      <c r="E32" s="16" t="s">
        <v>37</v>
      </c>
      <c r="F32" s="16" t="s">
        <v>26</v>
      </c>
      <c r="G32" s="17" t="s">
        <v>58</v>
      </c>
      <c r="H32" s="16" t="s">
        <v>61</v>
      </c>
      <c r="I32" s="16" t="s">
        <v>70</v>
      </c>
      <c r="J32" s="16">
        <v>120</v>
      </c>
      <c r="K32" s="16" t="s">
        <v>156</v>
      </c>
      <c r="L32" s="16">
        <v>4020</v>
      </c>
      <c r="M32" s="16" t="s">
        <v>11</v>
      </c>
      <c r="N32" s="16" t="str">
        <f t="shared" si="6"/>
        <v>مسبق الدفع</v>
      </c>
      <c r="O32" s="18">
        <v>45547</v>
      </c>
      <c r="P32" s="18">
        <v>45556</v>
      </c>
      <c r="Q32" s="18">
        <v>45557</v>
      </c>
      <c r="R32" s="19">
        <f t="shared" si="4"/>
        <v>9</v>
      </c>
      <c r="S32" s="19">
        <f>IF(OR(ISBLANK(bb[[#This Row],[ميعاد الطلب]]),ISBLANK(bb[[#This Row],[تاريخ التسليم]])),0,bb[[#This Row],[تاريخ التسليم]]-bb[[#This Row],[ميعاد الطلب]])</f>
        <v>10</v>
      </c>
      <c r="T32" s="16" t="s">
        <v>215</v>
      </c>
      <c r="U32" s="16" t="s">
        <v>88</v>
      </c>
      <c r="AC32" s="5" t="s">
        <v>37</v>
      </c>
      <c r="AD32" s="5" t="s">
        <v>162</v>
      </c>
    </row>
    <row r="33" spans="1:30" ht="20">
      <c r="A33" s="16" t="s">
        <v>54</v>
      </c>
      <c r="B33" s="16" t="str">
        <f t="shared" si="0"/>
        <v xml:space="preserve">فرد </v>
      </c>
      <c r="C33" s="16" t="str">
        <f t="shared" si="1"/>
        <v>العين السخنه</v>
      </c>
      <c r="D33" s="16" t="str">
        <f t="shared" si="2"/>
        <v>العين السخنه</v>
      </c>
      <c r="E33" s="16" t="s">
        <v>55</v>
      </c>
      <c r="F33" s="16" t="s">
        <v>5</v>
      </c>
      <c r="G33" s="17" t="s">
        <v>58</v>
      </c>
      <c r="H33" s="16" t="s">
        <v>59</v>
      </c>
      <c r="I33" s="16"/>
      <c r="J33" s="16"/>
      <c r="K33" s="16" t="s">
        <v>156</v>
      </c>
      <c r="L33" s="16">
        <v>9399</v>
      </c>
      <c r="M33" s="16" t="s">
        <v>11</v>
      </c>
      <c r="N33" s="16" t="str">
        <f t="shared" si="6"/>
        <v>مسبق الدفع</v>
      </c>
      <c r="O33" s="18">
        <v>45549</v>
      </c>
      <c r="P33" s="18">
        <v>45557</v>
      </c>
      <c r="Q33" s="18"/>
      <c r="R33" s="19">
        <f t="shared" si="4"/>
        <v>8</v>
      </c>
      <c r="S33" s="19">
        <f>IF(OR(ISBLANK(bb[[#This Row],[ميعاد الطلب]]),ISBLANK(bb[[#This Row],[تاريخ التسليم]])),0,bb[[#This Row],[تاريخ التسليم]]-bb[[#This Row],[ميعاد الطلب]])</f>
        <v>0</v>
      </c>
      <c r="T33" s="16" t="s">
        <v>21</v>
      </c>
      <c r="U33" s="16" t="s">
        <v>86</v>
      </c>
      <c r="AC33" s="5" t="s">
        <v>55</v>
      </c>
      <c r="AD33" s="5" t="s">
        <v>55</v>
      </c>
    </row>
    <row r="34" spans="1:30" ht="20">
      <c r="A34" s="16" t="s">
        <v>56</v>
      </c>
      <c r="B34" s="16" t="str">
        <f t="shared" ref="B34:B65" si="7">IF(OR(A34="تاكي",A34= "شيك هومز",A34= "اوسكار راتن" ), "شركة ","فرد ")</f>
        <v xml:space="preserve">فرد </v>
      </c>
      <c r="C34" s="16" t="str">
        <f t="shared" ref="C34:C65" si="8">VLOOKUP(E34,AC:AD,1,0)</f>
        <v xml:space="preserve">الابراهيميه . الإسكندرية </v>
      </c>
      <c r="D34" s="16" t="str">
        <f t="shared" ref="D34:D65" si="9">VLOOKUP(E34,AC:AD,2,0)</f>
        <v>الجيزة</v>
      </c>
      <c r="E34" s="16" t="s">
        <v>57</v>
      </c>
      <c r="F34" s="16" t="s">
        <v>5</v>
      </c>
      <c r="G34" s="17" t="s">
        <v>136</v>
      </c>
      <c r="H34" s="16" t="s">
        <v>85</v>
      </c>
      <c r="I34" s="16" t="s">
        <v>241</v>
      </c>
      <c r="J34" s="16" t="s">
        <v>241</v>
      </c>
      <c r="K34" s="16" t="s">
        <v>241</v>
      </c>
      <c r="L34" s="16">
        <v>8349</v>
      </c>
      <c r="M34" s="16" t="s">
        <v>11</v>
      </c>
      <c r="N34" s="16" t="str">
        <f t="shared" si="6"/>
        <v>مسبق الدفع</v>
      </c>
      <c r="O34" s="18">
        <v>45549</v>
      </c>
      <c r="P34" s="18">
        <v>45557</v>
      </c>
      <c r="Q34" s="18">
        <v>45559</v>
      </c>
      <c r="R34" s="19">
        <f t="shared" si="4"/>
        <v>8</v>
      </c>
      <c r="S34" s="19">
        <f>IF(OR(ISBLANK(bb[[#This Row],[ميعاد الطلب]]),ISBLANK(bb[[#This Row],[تاريخ التسليم]])),0,bb[[#This Row],[تاريخ التسليم]]-bb[[#This Row],[ميعاد الطلب]])</f>
        <v>10</v>
      </c>
      <c r="T34" s="16" t="s">
        <v>213</v>
      </c>
      <c r="U34" s="16" t="s">
        <v>88</v>
      </c>
      <c r="AC34" s="5" t="s">
        <v>57</v>
      </c>
      <c r="AD34" s="5" t="s">
        <v>162</v>
      </c>
    </row>
    <row r="35" spans="1:30" ht="20">
      <c r="A35" s="16" t="s">
        <v>181</v>
      </c>
      <c r="B35" s="16" t="str">
        <f t="shared" si="7"/>
        <v xml:space="preserve">فرد </v>
      </c>
      <c r="C35" s="16" t="str">
        <f t="shared" si="8"/>
        <v xml:space="preserve">٦ اكتوبر الجيزه  </v>
      </c>
      <c r="D35" s="16" t="str">
        <f t="shared" si="9"/>
        <v>القاهرة</v>
      </c>
      <c r="E35" s="16" t="s">
        <v>159</v>
      </c>
      <c r="F35" s="16" t="s">
        <v>5</v>
      </c>
      <c r="G35" s="17" t="s">
        <v>58</v>
      </c>
      <c r="H35" s="16" t="s">
        <v>59</v>
      </c>
      <c r="I35" s="16" t="s">
        <v>241</v>
      </c>
      <c r="J35" s="16" t="s">
        <v>241</v>
      </c>
      <c r="K35" s="16" t="s">
        <v>156</v>
      </c>
      <c r="L35" s="16">
        <v>9399</v>
      </c>
      <c r="M35" s="16" t="s">
        <v>11</v>
      </c>
      <c r="N35" s="16" t="str">
        <f t="shared" si="6"/>
        <v>مسبق الدفع</v>
      </c>
      <c r="O35" s="18">
        <v>45548</v>
      </c>
      <c r="P35" s="18">
        <v>45559</v>
      </c>
      <c r="Q35" s="18">
        <v>45565</v>
      </c>
      <c r="R35" s="19">
        <f t="shared" si="4"/>
        <v>11</v>
      </c>
      <c r="S35" s="19">
        <f>IF(OR(ISBLANK(bb[[#This Row],[ميعاد الطلب]]),ISBLANK(bb[[#This Row],[تاريخ التسليم]])),0,bb[[#This Row],[تاريخ التسليم]]-bb[[#This Row],[ميعاد الطلب]])</f>
        <v>17</v>
      </c>
      <c r="T35" s="16" t="s">
        <v>213</v>
      </c>
      <c r="U35" s="16" t="s">
        <v>88</v>
      </c>
      <c r="AC35" s="5" t="s">
        <v>159</v>
      </c>
      <c r="AD35" s="5" t="s">
        <v>166</v>
      </c>
    </row>
    <row r="36" spans="1:30" ht="20" hidden="1">
      <c r="A36" s="16" t="s">
        <v>182</v>
      </c>
      <c r="B36" s="16" t="str">
        <f t="shared" si="7"/>
        <v xml:space="preserve">فرد </v>
      </c>
      <c r="C36" s="16" t="str">
        <f t="shared" si="8"/>
        <v xml:space="preserve">القطاميه </v>
      </c>
      <c r="D36" s="16" t="str">
        <f t="shared" si="9"/>
        <v>القاهرة</v>
      </c>
      <c r="E36" s="16" t="s">
        <v>32</v>
      </c>
      <c r="F36" s="16" t="s">
        <v>5</v>
      </c>
      <c r="G36" s="17" t="s">
        <v>136</v>
      </c>
      <c r="H36" s="16" t="s">
        <v>83</v>
      </c>
      <c r="I36" s="16" t="s">
        <v>241</v>
      </c>
      <c r="J36" s="16" t="s">
        <v>241</v>
      </c>
      <c r="K36" s="16" t="s">
        <v>241</v>
      </c>
      <c r="L36" s="16">
        <v>7849</v>
      </c>
      <c r="M36" s="16">
        <v>7928</v>
      </c>
      <c r="N36" s="16" t="str">
        <f>IF(ISNUMBER(M36),"كاش", M36)</f>
        <v>كاش</v>
      </c>
      <c r="O36" s="18">
        <v>45547</v>
      </c>
      <c r="P36" s="18">
        <v>45561</v>
      </c>
      <c r="Q36" s="18"/>
      <c r="R36" s="19">
        <f t="shared" si="4"/>
        <v>14</v>
      </c>
      <c r="S36" s="19">
        <f>IF(OR(ISBLANK(bb[[#This Row],[ميعاد الطلب]]),ISBLANK(bb[[#This Row],[تاريخ التسليم]])),0,bb[[#This Row],[تاريخ التسليم]]-bb[[#This Row],[ميعاد الطلب]])</f>
        <v>0</v>
      </c>
      <c r="T36" s="16" t="s">
        <v>213</v>
      </c>
      <c r="U36" s="16" t="s">
        <v>88</v>
      </c>
      <c r="AC36" s="5" t="s">
        <v>32</v>
      </c>
      <c r="AD36" s="5" t="s">
        <v>166</v>
      </c>
    </row>
    <row r="37" spans="1:30" ht="20" hidden="1">
      <c r="A37" s="16" t="s">
        <v>34</v>
      </c>
      <c r="B37" s="16" t="str">
        <f t="shared" si="7"/>
        <v xml:space="preserve">فرد </v>
      </c>
      <c r="C37" s="16" t="str">
        <f t="shared" si="8"/>
        <v xml:space="preserve">١٨ شارع البحيري بولاق الدكرور الجيزه </v>
      </c>
      <c r="D37" s="16" t="str">
        <f t="shared" si="9"/>
        <v>الجيزة</v>
      </c>
      <c r="E37" s="16" t="s">
        <v>35</v>
      </c>
      <c r="F37" s="16" t="s">
        <v>20</v>
      </c>
      <c r="G37" s="17" t="s">
        <v>58</v>
      </c>
      <c r="H37" s="16" t="s">
        <v>72</v>
      </c>
      <c r="I37" s="16" t="s">
        <v>63</v>
      </c>
      <c r="J37" s="16">
        <v>100</v>
      </c>
      <c r="K37" s="16" t="s">
        <v>156</v>
      </c>
      <c r="L37" s="16">
        <v>9450</v>
      </c>
      <c r="M37" s="16">
        <v>9450</v>
      </c>
      <c r="N37" s="16" t="str">
        <f>IF(ISNUMBER(M37),"كاش", M37)</f>
        <v>كاش</v>
      </c>
      <c r="O37" s="18">
        <v>45547</v>
      </c>
      <c r="P37" s="18">
        <v>45561</v>
      </c>
      <c r="Q37" s="18"/>
      <c r="R37" s="19">
        <f t="shared" si="4"/>
        <v>14</v>
      </c>
      <c r="S37" s="19">
        <f>IF(OR(ISBLANK(bb[[#This Row],[ميعاد الطلب]]),ISBLANK(bb[[#This Row],[تاريخ التسليم]])),0,bb[[#This Row],[تاريخ التسليم]]-bb[[#This Row],[ميعاد الطلب]])</f>
        <v>0</v>
      </c>
      <c r="T37" s="16" t="s">
        <v>170</v>
      </c>
      <c r="U37" s="16" t="s">
        <v>150</v>
      </c>
      <c r="AC37" s="5" t="s">
        <v>35</v>
      </c>
      <c r="AD37" s="5" t="s">
        <v>162</v>
      </c>
    </row>
    <row r="38" spans="1:30" ht="20">
      <c r="A38" s="16" t="s">
        <v>183</v>
      </c>
      <c r="B38" s="16" t="str">
        <f t="shared" si="7"/>
        <v xml:space="preserve">فرد </v>
      </c>
      <c r="C38" s="16" t="str">
        <f t="shared" si="8"/>
        <v>القاهره الجديده</v>
      </c>
      <c r="D38" s="16" t="str">
        <f t="shared" si="9"/>
        <v>القاهرة</v>
      </c>
      <c r="E38" s="16" t="s">
        <v>30</v>
      </c>
      <c r="F38" s="16" t="s">
        <v>5</v>
      </c>
      <c r="G38" s="17" t="s">
        <v>58</v>
      </c>
      <c r="H38" s="16" t="s">
        <v>61</v>
      </c>
      <c r="I38" s="16" t="s">
        <v>64</v>
      </c>
      <c r="J38" s="16">
        <v>120</v>
      </c>
      <c r="K38" s="16" t="s">
        <v>156</v>
      </c>
      <c r="L38" s="16">
        <v>7460</v>
      </c>
      <c r="M38" s="16" t="s">
        <v>11</v>
      </c>
      <c r="N38" s="16" t="str">
        <f t="shared" ref="N38:N41" si="10">IF(ISNUMBER(M38),"كاش", M38)</f>
        <v>مسبق الدفع</v>
      </c>
      <c r="O38" s="18">
        <v>45548</v>
      </c>
      <c r="P38" s="18">
        <v>45561</v>
      </c>
      <c r="Q38" s="18">
        <v>45568</v>
      </c>
      <c r="R38" s="19">
        <f t="shared" si="4"/>
        <v>13</v>
      </c>
      <c r="S38" s="19">
        <f>IF(OR(ISBLANK(bb[[#This Row],[ميعاد الطلب]]),ISBLANK(bb[[#This Row],[تاريخ التسليم]])),0,bb[[#This Row],[تاريخ التسليم]]-bb[[#This Row],[ميعاد الطلب]])</f>
        <v>20</v>
      </c>
      <c r="T38" s="16" t="s">
        <v>215</v>
      </c>
      <c r="U38" s="16" t="s">
        <v>88</v>
      </c>
      <c r="AC38" s="5" t="s">
        <v>30</v>
      </c>
      <c r="AD38" s="5" t="s">
        <v>166</v>
      </c>
    </row>
    <row r="39" spans="1:30" ht="20">
      <c r="A39" s="16" t="s">
        <v>40</v>
      </c>
      <c r="B39" s="16" t="str">
        <f t="shared" si="7"/>
        <v xml:space="preserve">فرد </v>
      </c>
      <c r="C39" s="16" t="str">
        <f t="shared" si="8"/>
        <v>القاهره الجديده</v>
      </c>
      <c r="D39" s="16" t="str">
        <f t="shared" si="9"/>
        <v>القاهرة</v>
      </c>
      <c r="E39" s="16" t="s">
        <v>30</v>
      </c>
      <c r="F39" s="16" t="s">
        <v>5</v>
      </c>
      <c r="G39" s="17" t="s">
        <v>58</v>
      </c>
      <c r="H39" s="16" t="s">
        <v>61</v>
      </c>
      <c r="I39" s="16" t="s">
        <v>79</v>
      </c>
      <c r="J39" s="16">
        <v>140</v>
      </c>
      <c r="K39" s="16" t="s">
        <v>77</v>
      </c>
      <c r="L39" s="16">
        <v>9528</v>
      </c>
      <c r="M39" s="16" t="s">
        <v>11</v>
      </c>
      <c r="N39" s="16" t="str">
        <f t="shared" si="10"/>
        <v>مسبق الدفع</v>
      </c>
      <c r="O39" s="18">
        <v>45548</v>
      </c>
      <c r="P39" s="18">
        <v>45561</v>
      </c>
      <c r="Q39" s="18">
        <v>45568</v>
      </c>
      <c r="R39" s="19">
        <f t="shared" si="4"/>
        <v>13</v>
      </c>
      <c r="S39" s="19">
        <f>IF(OR(ISBLANK(bb[[#This Row],[ميعاد الطلب]]),ISBLANK(bb[[#This Row],[تاريخ التسليم]])),0,bb[[#This Row],[تاريخ التسليم]]-bb[[#This Row],[ميعاد الطلب]])</f>
        <v>20</v>
      </c>
      <c r="T39" s="16" t="s">
        <v>215</v>
      </c>
      <c r="U39" s="16" t="s">
        <v>88</v>
      </c>
      <c r="AC39" s="5" t="s">
        <v>30</v>
      </c>
      <c r="AD39" s="5" t="s">
        <v>162</v>
      </c>
    </row>
    <row r="40" spans="1:30" ht="20">
      <c r="A40" s="16" t="s">
        <v>184</v>
      </c>
      <c r="B40" s="16" t="str">
        <f t="shared" si="7"/>
        <v xml:space="preserve">فرد </v>
      </c>
      <c r="C40" s="16" t="str">
        <f t="shared" si="8"/>
        <v xml:space="preserve">٦ اكتوبر الجيزه  </v>
      </c>
      <c r="D40" s="16" t="str">
        <f t="shared" si="9"/>
        <v>القاهرة</v>
      </c>
      <c r="E40" s="16" t="s">
        <v>159</v>
      </c>
      <c r="F40" s="16" t="s">
        <v>5</v>
      </c>
      <c r="G40" s="17" t="s">
        <v>58</v>
      </c>
      <c r="H40" s="16" t="s">
        <v>145</v>
      </c>
      <c r="I40" s="16" t="s">
        <v>63</v>
      </c>
      <c r="J40" s="16">
        <v>120</v>
      </c>
      <c r="K40" s="16" t="s">
        <v>73</v>
      </c>
      <c r="L40" s="16">
        <v>12999</v>
      </c>
      <c r="M40" s="16" t="s">
        <v>11</v>
      </c>
      <c r="N40" s="16" t="str">
        <f t="shared" si="10"/>
        <v>مسبق الدفع</v>
      </c>
      <c r="O40" s="18">
        <v>45549</v>
      </c>
      <c r="P40" s="18">
        <v>45562</v>
      </c>
      <c r="Q40" s="18">
        <v>45567</v>
      </c>
      <c r="R40" s="19">
        <f t="shared" si="4"/>
        <v>13</v>
      </c>
      <c r="S40" s="19">
        <f>IF(OR(ISBLANK(bb[[#This Row],[ميعاد الطلب]]),ISBLANK(bb[[#This Row],[تاريخ التسليم]])),0,bb[[#This Row],[تاريخ التسليم]]-bb[[#This Row],[ميعاد الطلب]])</f>
        <v>18</v>
      </c>
      <c r="T40" s="16" t="s">
        <v>215</v>
      </c>
      <c r="U40" s="16" t="s">
        <v>88</v>
      </c>
      <c r="AC40" s="5" t="s">
        <v>159</v>
      </c>
      <c r="AD40" s="5" t="s">
        <v>162</v>
      </c>
    </row>
    <row r="41" spans="1:30" ht="20">
      <c r="A41" s="16" t="s">
        <v>185</v>
      </c>
      <c r="B41" s="16" t="str">
        <f t="shared" si="7"/>
        <v xml:space="preserve">فرد </v>
      </c>
      <c r="C41" s="16" t="str">
        <f t="shared" si="8"/>
        <v xml:space="preserve">الشروق </v>
      </c>
      <c r="D41" s="16" t="str">
        <f t="shared" si="9"/>
        <v>القاهرة</v>
      </c>
      <c r="E41" s="16" t="s">
        <v>160</v>
      </c>
      <c r="F41" s="16" t="s">
        <v>5</v>
      </c>
      <c r="G41" s="17" t="s">
        <v>58</v>
      </c>
      <c r="H41" s="16" t="s">
        <v>145</v>
      </c>
      <c r="I41" s="16" t="s">
        <v>60</v>
      </c>
      <c r="J41" s="16">
        <v>90</v>
      </c>
      <c r="K41" s="16" t="s">
        <v>156</v>
      </c>
      <c r="L41" s="16">
        <v>5999</v>
      </c>
      <c r="M41" s="16" t="s">
        <v>11</v>
      </c>
      <c r="N41" s="16" t="str">
        <f t="shared" si="10"/>
        <v>مسبق الدفع</v>
      </c>
      <c r="O41" s="18">
        <v>45547</v>
      </c>
      <c r="P41" s="18">
        <v>45564</v>
      </c>
      <c r="Q41" s="18"/>
      <c r="R41" s="19">
        <f t="shared" si="4"/>
        <v>17</v>
      </c>
      <c r="S41" s="19">
        <f>IF(OR(ISBLANK(bb[[#This Row],[ميعاد الطلب]]),ISBLANK(bb[[#This Row],[تاريخ التسليم]])),0,bb[[#This Row],[تاريخ التسليم]]-bb[[#This Row],[ميعاد الطلب]])</f>
        <v>0</v>
      </c>
      <c r="T41" s="16" t="s">
        <v>170</v>
      </c>
      <c r="U41" s="16" t="s">
        <v>150</v>
      </c>
      <c r="AC41" s="5" t="s">
        <v>160</v>
      </c>
      <c r="AD41" s="5" t="s">
        <v>166</v>
      </c>
    </row>
    <row r="42" spans="1:30" ht="20" hidden="1">
      <c r="A42" s="16" t="s">
        <v>186</v>
      </c>
      <c r="B42" s="16" t="str">
        <f t="shared" si="7"/>
        <v xml:space="preserve">فرد </v>
      </c>
      <c r="C42" s="16" t="str">
        <f t="shared" si="8"/>
        <v xml:space="preserve">حدايق الاهرام </v>
      </c>
      <c r="D42" s="16" t="str">
        <f t="shared" si="9"/>
        <v>البحر الأحمر</v>
      </c>
      <c r="E42" s="16" t="s">
        <v>33</v>
      </c>
      <c r="F42" s="16" t="s">
        <v>5</v>
      </c>
      <c r="G42" s="17" t="s">
        <v>58</v>
      </c>
      <c r="H42" s="16" t="s">
        <v>145</v>
      </c>
      <c r="I42" s="16" t="s">
        <v>63</v>
      </c>
      <c r="J42" s="16">
        <v>100</v>
      </c>
      <c r="K42" s="16" t="s">
        <v>156</v>
      </c>
      <c r="L42" s="16">
        <v>11949</v>
      </c>
      <c r="M42" s="16">
        <v>10749</v>
      </c>
      <c r="N42" s="16" t="str">
        <f>IF(ISNUMBER(M42),"كاش", M42)</f>
        <v>كاش</v>
      </c>
      <c r="O42" s="18">
        <v>45547</v>
      </c>
      <c r="P42" s="18">
        <v>45564</v>
      </c>
      <c r="Q42" s="18">
        <v>45567</v>
      </c>
      <c r="R42" s="19">
        <f t="shared" si="4"/>
        <v>17</v>
      </c>
      <c r="S42" s="19">
        <f>IF(OR(ISBLANK(bb[[#This Row],[ميعاد الطلب]]),ISBLANK(bb[[#This Row],[تاريخ التسليم]])),0,bb[[#This Row],[تاريخ التسليم]]-bb[[#This Row],[ميعاد الطلب]])</f>
        <v>20</v>
      </c>
      <c r="T42" s="16" t="s">
        <v>215</v>
      </c>
      <c r="U42" s="16" t="s">
        <v>88</v>
      </c>
      <c r="AC42" s="5" t="s">
        <v>33</v>
      </c>
      <c r="AD42" s="5" t="s">
        <v>165</v>
      </c>
    </row>
    <row r="43" spans="1:30" ht="20" hidden="1">
      <c r="A43" s="16" t="s">
        <v>186</v>
      </c>
      <c r="B43" s="16" t="str">
        <f t="shared" si="7"/>
        <v xml:space="preserve">فرد </v>
      </c>
      <c r="C43" s="16" t="str">
        <f t="shared" si="8"/>
        <v xml:space="preserve">حدايق الاهرام </v>
      </c>
      <c r="D43" s="16" t="str">
        <f t="shared" si="9"/>
        <v>البحر الأحمر</v>
      </c>
      <c r="E43" s="16" t="s">
        <v>33</v>
      </c>
      <c r="F43" s="16" t="s">
        <v>5</v>
      </c>
      <c r="G43" s="17" t="s">
        <v>58</v>
      </c>
      <c r="H43" s="16" t="s">
        <v>145</v>
      </c>
      <c r="I43" s="16" t="s">
        <v>63</v>
      </c>
      <c r="J43" s="16">
        <v>100</v>
      </c>
      <c r="K43" s="16" t="s">
        <v>156</v>
      </c>
      <c r="L43" s="16">
        <v>11949</v>
      </c>
      <c r="M43" s="16">
        <v>10749</v>
      </c>
      <c r="N43" s="16" t="str">
        <f>IF(ISNUMBER(M43),"كاش", M43)</f>
        <v>كاش</v>
      </c>
      <c r="O43" s="18">
        <v>45547</v>
      </c>
      <c r="P43" s="18">
        <v>45564</v>
      </c>
      <c r="Q43" s="18">
        <v>45567</v>
      </c>
      <c r="R43" s="19">
        <f t="shared" si="4"/>
        <v>17</v>
      </c>
      <c r="S43" s="19">
        <f>IF(OR(ISBLANK(bb[[#This Row],[ميعاد الطلب]]),ISBLANK(bb[[#This Row],[تاريخ التسليم]])),0,bb[[#This Row],[تاريخ التسليم]]-bb[[#This Row],[ميعاد الطلب]])</f>
        <v>20</v>
      </c>
      <c r="T43" s="16" t="s">
        <v>215</v>
      </c>
      <c r="U43" s="16" t="s">
        <v>88</v>
      </c>
      <c r="AC43" s="5" t="s">
        <v>33</v>
      </c>
      <c r="AD43" s="5" t="s">
        <v>96</v>
      </c>
    </row>
    <row r="44" spans="1:30" ht="20">
      <c r="A44" s="16" t="s">
        <v>176</v>
      </c>
      <c r="B44" s="16" t="str">
        <f t="shared" si="7"/>
        <v xml:space="preserve">فرد </v>
      </c>
      <c r="C44" s="16" t="str">
        <f t="shared" si="8"/>
        <v xml:space="preserve">الشروق </v>
      </c>
      <c r="D44" s="16" t="str">
        <f t="shared" si="9"/>
        <v>القاهرة</v>
      </c>
      <c r="E44" s="16" t="s">
        <v>160</v>
      </c>
      <c r="F44" s="16" t="s">
        <v>5</v>
      </c>
      <c r="G44" s="17" t="s">
        <v>58</v>
      </c>
      <c r="H44" s="16" t="s">
        <v>72</v>
      </c>
      <c r="I44" s="16" t="s">
        <v>63</v>
      </c>
      <c r="J44" s="16">
        <v>80</v>
      </c>
      <c r="K44" s="16" t="s">
        <v>155</v>
      </c>
      <c r="L44" s="16">
        <v>16599</v>
      </c>
      <c r="M44" s="16" t="s">
        <v>11</v>
      </c>
      <c r="N44" s="16" t="str">
        <f t="shared" ref="N44:N68" si="11">IF(ISNUMBER(M44),"كاش", M44)</f>
        <v>مسبق الدفع</v>
      </c>
      <c r="O44" s="18">
        <v>45548</v>
      </c>
      <c r="P44" s="18">
        <v>45565</v>
      </c>
      <c r="Q44" s="18">
        <v>45568</v>
      </c>
      <c r="R44" s="19">
        <f t="shared" si="4"/>
        <v>17</v>
      </c>
      <c r="S44" s="19">
        <f>IF(OR(ISBLANK(bb[[#This Row],[ميعاد الطلب]]),ISBLANK(bb[[#This Row],[تاريخ التسليم]])),0,bb[[#This Row],[تاريخ التسليم]]-bb[[#This Row],[ميعاد الطلب]])</f>
        <v>20</v>
      </c>
      <c r="T44" s="16" t="s">
        <v>215</v>
      </c>
      <c r="U44" s="16" t="s">
        <v>88</v>
      </c>
      <c r="AC44" s="5" t="s">
        <v>160</v>
      </c>
      <c r="AD44" s="5" t="s">
        <v>162</v>
      </c>
    </row>
    <row r="45" spans="1:30" ht="20">
      <c r="A45" s="16" t="s">
        <v>187</v>
      </c>
      <c r="B45" s="16" t="str">
        <f t="shared" si="7"/>
        <v xml:space="preserve">فرد </v>
      </c>
      <c r="C45" s="16" t="str">
        <f t="shared" si="8"/>
        <v xml:space="preserve">الغردقه </v>
      </c>
      <c r="D45" s="16" t="str">
        <f t="shared" si="9"/>
        <v>البحر الأحمر</v>
      </c>
      <c r="E45" s="16" t="s">
        <v>17</v>
      </c>
      <c r="F45" s="16" t="s">
        <v>5</v>
      </c>
      <c r="G45" s="17" t="s">
        <v>58</v>
      </c>
      <c r="H45" s="16" t="s">
        <v>145</v>
      </c>
      <c r="I45" s="16" t="s">
        <v>63</v>
      </c>
      <c r="J45" s="16">
        <v>80</v>
      </c>
      <c r="K45" s="16" t="s">
        <v>155</v>
      </c>
      <c r="L45" s="16">
        <v>10999</v>
      </c>
      <c r="M45" s="16" t="s">
        <v>11</v>
      </c>
      <c r="N45" s="16" t="str">
        <f t="shared" si="11"/>
        <v>مسبق الدفع</v>
      </c>
      <c r="O45" s="18">
        <v>45548</v>
      </c>
      <c r="P45" s="18">
        <v>45565</v>
      </c>
      <c r="Q45" s="18">
        <v>45581</v>
      </c>
      <c r="R45" s="19">
        <f t="shared" si="4"/>
        <v>17</v>
      </c>
      <c r="S45" s="19">
        <f>IF(OR(ISBLANK(bb[[#This Row],[ميعاد الطلب]]),ISBLANK(bb[[#This Row],[تاريخ التسليم]])),0,bb[[#This Row],[تاريخ التسليم]]-bb[[#This Row],[ميعاد الطلب]])</f>
        <v>33</v>
      </c>
      <c r="T45" s="16" t="s">
        <v>213</v>
      </c>
      <c r="U45" s="16" t="s">
        <v>88</v>
      </c>
      <c r="AC45" s="5" t="s">
        <v>17</v>
      </c>
      <c r="AD45" s="5" t="s">
        <v>166</v>
      </c>
    </row>
    <row r="46" spans="1:30" ht="20">
      <c r="A46" s="16" t="s">
        <v>188</v>
      </c>
      <c r="B46" s="16" t="str">
        <f t="shared" si="7"/>
        <v xml:space="preserve">فرد </v>
      </c>
      <c r="C46" s="16" t="str">
        <f t="shared" si="8"/>
        <v xml:space="preserve">لافيستا العين السخنه </v>
      </c>
      <c r="D46" s="16" t="str">
        <f t="shared" si="9"/>
        <v>الجيزة</v>
      </c>
      <c r="E46" s="16" t="s">
        <v>39</v>
      </c>
      <c r="F46" s="16" t="s">
        <v>5</v>
      </c>
      <c r="G46" s="17" t="s">
        <v>58</v>
      </c>
      <c r="H46" s="16" t="s">
        <v>145</v>
      </c>
      <c r="I46" s="16" t="s">
        <v>63</v>
      </c>
      <c r="J46" s="16">
        <v>140</v>
      </c>
      <c r="K46" s="16" t="s">
        <v>71</v>
      </c>
      <c r="L46" s="16">
        <v>13099</v>
      </c>
      <c r="M46" s="16" t="s">
        <v>11</v>
      </c>
      <c r="N46" s="16" t="str">
        <f t="shared" si="11"/>
        <v>مسبق الدفع</v>
      </c>
      <c r="O46" s="18">
        <v>45548</v>
      </c>
      <c r="P46" s="18">
        <v>45565</v>
      </c>
      <c r="Q46" s="18">
        <v>45568</v>
      </c>
      <c r="R46" s="19">
        <f t="shared" si="4"/>
        <v>17</v>
      </c>
      <c r="S46" s="19">
        <f>IF(OR(ISBLANK(bb[[#This Row],[ميعاد الطلب]]),ISBLANK(bb[[#This Row],[تاريخ التسليم]])),0,bb[[#This Row],[تاريخ التسليم]]-bb[[#This Row],[ميعاد الطلب]])</f>
        <v>20</v>
      </c>
      <c r="T46" s="16" t="s">
        <v>213</v>
      </c>
      <c r="U46" s="16" t="s">
        <v>88</v>
      </c>
      <c r="AC46" s="5" t="s">
        <v>39</v>
      </c>
      <c r="AD46" s="5" t="s">
        <v>162</v>
      </c>
    </row>
    <row r="47" spans="1:30" ht="20">
      <c r="A47" s="16" t="s">
        <v>189</v>
      </c>
      <c r="B47" s="16" t="str">
        <f t="shared" si="7"/>
        <v xml:space="preserve">فرد </v>
      </c>
      <c r="C47" s="16" t="str">
        <f t="shared" si="8"/>
        <v xml:space="preserve">٦ اكتوبر الجيزه  </v>
      </c>
      <c r="D47" s="16" t="str">
        <f t="shared" si="9"/>
        <v>القاهرة</v>
      </c>
      <c r="E47" s="16" t="s">
        <v>159</v>
      </c>
      <c r="F47" s="16" t="s">
        <v>5</v>
      </c>
      <c r="G47" s="17" t="s">
        <v>58</v>
      </c>
      <c r="H47" s="16" t="s">
        <v>145</v>
      </c>
      <c r="I47" s="16" t="s">
        <v>62</v>
      </c>
      <c r="J47" s="16">
        <v>120</v>
      </c>
      <c r="K47" s="16" t="s">
        <v>74</v>
      </c>
      <c r="L47" s="16">
        <v>13849</v>
      </c>
      <c r="M47" s="16" t="s">
        <v>11</v>
      </c>
      <c r="N47" s="16" t="str">
        <f t="shared" si="11"/>
        <v>مسبق الدفع</v>
      </c>
      <c r="O47" s="18">
        <v>45548</v>
      </c>
      <c r="P47" s="18">
        <v>45565</v>
      </c>
      <c r="Q47" s="18">
        <v>45585</v>
      </c>
      <c r="R47" s="19">
        <f t="shared" si="4"/>
        <v>17</v>
      </c>
      <c r="S47" s="19">
        <f>IF(OR(ISBLANK(bb[[#This Row],[ميعاد الطلب]]),ISBLANK(bb[[#This Row],[تاريخ التسليم]])),0,bb[[#This Row],[تاريخ التسليم]]-bb[[#This Row],[ميعاد الطلب]])</f>
        <v>37</v>
      </c>
      <c r="T47" s="16" t="s">
        <v>215</v>
      </c>
      <c r="U47" s="16" t="s">
        <v>88</v>
      </c>
      <c r="AC47" s="5" t="s">
        <v>159</v>
      </c>
      <c r="AD47" s="5" t="s">
        <v>166</v>
      </c>
    </row>
    <row r="48" spans="1:30" ht="20">
      <c r="A48" s="16" t="s">
        <v>190</v>
      </c>
      <c r="B48" s="16" t="str">
        <f t="shared" si="7"/>
        <v xml:space="preserve">فرد </v>
      </c>
      <c r="C48" s="16" t="str">
        <f t="shared" si="8"/>
        <v xml:space="preserve">القاهره الجديده </v>
      </c>
      <c r="D48" s="16" t="str">
        <f t="shared" si="9"/>
        <v>الجيزة</v>
      </c>
      <c r="E48" s="16" t="s">
        <v>41</v>
      </c>
      <c r="F48" s="16" t="s">
        <v>5</v>
      </c>
      <c r="G48" s="17" t="s">
        <v>69</v>
      </c>
      <c r="H48" s="16" t="s">
        <v>92</v>
      </c>
      <c r="I48" s="16" t="s">
        <v>241</v>
      </c>
      <c r="J48" s="16" t="s">
        <v>241</v>
      </c>
      <c r="K48" s="16" t="s">
        <v>156</v>
      </c>
      <c r="L48" s="16">
        <v>21999</v>
      </c>
      <c r="M48" s="16" t="s">
        <v>11</v>
      </c>
      <c r="N48" s="16" t="str">
        <f t="shared" si="11"/>
        <v>مسبق الدفع</v>
      </c>
      <c r="O48" s="18">
        <v>45548</v>
      </c>
      <c r="P48" s="18">
        <v>45565</v>
      </c>
      <c r="Q48" s="18"/>
      <c r="R48" s="19">
        <f t="shared" si="4"/>
        <v>17</v>
      </c>
      <c r="S48" s="19">
        <f>IF(OR(ISBLANK(bb[[#This Row],[ميعاد الطلب]]),ISBLANK(bb[[#This Row],[تاريخ التسليم]])),0,bb[[#This Row],[تاريخ التسليم]]-bb[[#This Row],[ميعاد الطلب]])</f>
        <v>0</v>
      </c>
      <c r="T48" s="16" t="s">
        <v>215</v>
      </c>
      <c r="U48" s="16" t="s">
        <v>88</v>
      </c>
      <c r="AC48" s="5" t="s">
        <v>41</v>
      </c>
      <c r="AD48" s="5" t="s">
        <v>162</v>
      </c>
    </row>
    <row r="49" spans="1:30" ht="20">
      <c r="A49" s="16" t="s">
        <v>191</v>
      </c>
      <c r="B49" s="16" t="str">
        <f t="shared" si="7"/>
        <v xml:space="preserve">فرد </v>
      </c>
      <c r="C49" s="16" t="str">
        <f t="shared" si="8"/>
        <v xml:space="preserve">٦ اكتوبر الجيزه  </v>
      </c>
      <c r="D49" s="16" t="str">
        <f t="shared" si="9"/>
        <v>القاهرة</v>
      </c>
      <c r="E49" s="16" t="s">
        <v>159</v>
      </c>
      <c r="F49" s="16" t="s">
        <v>5</v>
      </c>
      <c r="G49" s="17" t="s">
        <v>58</v>
      </c>
      <c r="H49" s="16" t="s">
        <v>145</v>
      </c>
      <c r="I49" s="16" t="s">
        <v>63</v>
      </c>
      <c r="J49" s="16">
        <v>80</v>
      </c>
      <c r="K49" s="16" t="s">
        <v>155</v>
      </c>
      <c r="L49" s="16">
        <v>10999</v>
      </c>
      <c r="M49" s="16" t="s">
        <v>11</v>
      </c>
      <c r="N49" s="16" t="str">
        <f t="shared" si="11"/>
        <v>مسبق الدفع</v>
      </c>
      <c r="O49" s="18">
        <v>45548</v>
      </c>
      <c r="P49" s="18">
        <v>45565</v>
      </c>
      <c r="Q49" s="18">
        <v>45580</v>
      </c>
      <c r="R49" s="19">
        <f t="shared" si="4"/>
        <v>17</v>
      </c>
      <c r="S49" s="19">
        <f>IF(OR(ISBLANK(bb[[#This Row],[ميعاد الطلب]]),ISBLANK(bb[[#This Row],[تاريخ التسليم]])),0,bb[[#This Row],[تاريخ التسليم]]-bb[[#This Row],[ميعاد الطلب]])</f>
        <v>32</v>
      </c>
      <c r="T49" s="16" t="s">
        <v>215</v>
      </c>
      <c r="U49" s="16" t="s">
        <v>88</v>
      </c>
      <c r="AC49" s="5" t="s">
        <v>159</v>
      </c>
      <c r="AD49" s="5" t="s">
        <v>166</v>
      </c>
    </row>
    <row r="50" spans="1:30" ht="20">
      <c r="A50" s="16" t="s">
        <v>192</v>
      </c>
      <c r="B50" s="16" t="str">
        <f t="shared" si="7"/>
        <v xml:space="preserve">فرد </v>
      </c>
      <c r="C50" s="16" t="str">
        <f t="shared" si="8"/>
        <v>المعادى</v>
      </c>
      <c r="D50" s="16" t="str">
        <f t="shared" si="9"/>
        <v>الجيزة</v>
      </c>
      <c r="E50" s="16" t="s">
        <v>43</v>
      </c>
      <c r="F50" s="16" t="s">
        <v>5</v>
      </c>
      <c r="G50" s="17" t="s">
        <v>58</v>
      </c>
      <c r="H50" s="16" t="s">
        <v>72</v>
      </c>
      <c r="I50" s="16" t="s">
        <v>63</v>
      </c>
      <c r="J50" s="16">
        <v>90</v>
      </c>
      <c r="K50" s="16" t="s">
        <v>156</v>
      </c>
      <c r="L50" s="16">
        <v>17249</v>
      </c>
      <c r="M50" s="16" t="s">
        <v>11</v>
      </c>
      <c r="N50" s="16" t="str">
        <f t="shared" si="11"/>
        <v>مسبق الدفع</v>
      </c>
      <c r="O50" s="18">
        <v>45548</v>
      </c>
      <c r="P50" s="18">
        <v>45565</v>
      </c>
      <c r="Q50" s="18">
        <v>45569</v>
      </c>
      <c r="R50" s="19">
        <f t="shared" si="4"/>
        <v>17</v>
      </c>
      <c r="S50" s="19">
        <f>IF(OR(ISBLANK(bb[[#This Row],[ميعاد الطلب]]),ISBLANK(bb[[#This Row],[تاريخ التسليم]])),0,bb[[#This Row],[تاريخ التسليم]]-bb[[#This Row],[ميعاد الطلب]])</f>
        <v>21</v>
      </c>
      <c r="T50" s="16" t="s">
        <v>215</v>
      </c>
      <c r="U50" s="16" t="s">
        <v>88</v>
      </c>
      <c r="AC50" s="5" t="s">
        <v>43</v>
      </c>
      <c r="AD50" s="5" t="s">
        <v>162</v>
      </c>
    </row>
    <row r="51" spans="1:30" ht="20">
      <c r="A51" s="16" t="s">
        <v>193</v>
      </c>
      <c r="B51" s="16" t="str">
        <f t="shared" si="7"/>
        <v xml:space="preserve">فرد </v>
      </c>
      <c r="C51" s="16" t="str">
        <f t="shared" si="8"/>
        <v>فيصل الجيزه</v>
      </c>
      <c r="D51" s="16" t="str">
        <f t="shared" si="9"/>
        <v>الجيزة</v>
      </c>
      <c r="E51" s="16" t="s">
        <v>53</v>
      </c>
      <c r="F51" s="16" t="s">
        <v>5</v>
      </c>
      <c r="G51" s="17" t="s">
        <v>136</v>
      </c>
      <c r="H51" s="16" t="s">
        <v>83</v>
      </c>
      <c r="I51" s="16" t="s">
        <v>241</v>
      </c>
      <c r="J51" s="16" t="s">
        <v>241</v>
      </c>
      <c r="K51" s="16" t="s">
        <v>241</v>
      </c>
      <c r="L51" s="16">
        <v>8349</v>
      </c>
      <c r="M51" s="16" t="s">
        <v>11</v>
      </c>
      <c r="N51" s="16" t="str">
        <f t="shared" si="11"/>
        <v>مسبق الدفع</v>
      </c>
      <c r="O51" s="18">
        <v>45549</v>
      </c>
      <c r="P51" s="18">
        <v>45581</v>
      </c>
      <c r="Q51" s="18">
        <v>45586</v>
      </c>
      <c r="R51" s="19">
        <f t="shared" si="4"/>
        <v>32</v>
      </c>
      <c r="S51" s="19">
        <f>IF(OR(ISBLANK(bb[[#This Row],[ميعاد الطلب]]),ISBLANK(bb[[#This Row],[تاريخ التسليم]])),0,bb[[#This Row],[تاريخ التسليم]]-bb[[#This Row],[ميعاد الطلب]])</f>
        <v>37</v>
      </c>
      <c r="T51" s="16" t="s">
        <v>215</v>
      </c>
      <c r="U51" s="16" t="s">
        <v>88</v>
      </c>
      <c r="AC51" s="5" t="s">
        <v>53</v>
      </c>
      <c r="AD51" s="5" t="s">
        <v>162</v>
      </c>
    </row>
    <row r="52" spans="1:30" ht="20">
      <c r="A52" s="16" t="s">
        <v>194</v>
      </c>
      <c r="B52" s="16" t="str">
        <f t="shared" si="7"/>
        <v xml:space="preserve">فرد </v>
      </c>
      <c r="C52" s="16" t="str">
        <f t="shared" si="8"/>
        <v xml:space="preserve">المقطم </v>
      </c>
      <c r="D52" s="16" t="str">
        <f t="shared" si="9"/>
        <v>القاهرة</v>
      </c>
      <c r="E52" s="16" t="s">
        <v>29</v>
      </c>
      <c r="F52" s="16" t="s">
        <v>5</v>
      </c>
      <c r="G52" s="17" t="s">
        <v>136</v>
      </c>
      <c r="H52" s="16" t="s">
        <v>84</v>
      </c>
      <c r="I52" s="16" t="s">
        <v>241</v>
      </c>
      <c r="J52" s="16" t="s">
        <v>241</v>
      </c>
      <c r="K52" s="16" t="s">
        <v>241</v>
      </c>
      <c r="L52" s="16">
        <v>7849</v>
      </c>
      <c r="M52" s="16" t="s">
        <v>11</v>
      </c>
      <c r="N52" s="16" t="str">
        <f t="shared" si="11"/>
        <v>مسبق الدفع</v>
      </c>
      <c r="O52" s="18">
        <v>45549</v>
      </c>
      <c r="P52" s="18">
        <v>45594</v>
      </c>
      <c r="Q52" s="18">
        <v>45595</v>
      </c>
      <c r="R52" s="19">
        <f t="shared" si="4"/>
        <v>45</v>
      </c>
      <c r="S52" s="19">
        <f>IF(OR(ISBLANK(bb[[#This Row],[ميعاد الطلب]]),ISBLANK(bb[[#This Row],[تاريخ التسليم]])),0,bb[[#This Row],[تاريخ التسليم]]-bb[[#This Row],[ميعاد الطلب]])</f>
        <v>46</v>
      </c>
      <c r="T52" s="16" t="s">
        <v>215</v>
      </c>
      <c r="U52" s="16" t="s">
        <v>88</v>
      </c>
      <c r="AC52" s="5" t="s">
        <v>29</v>
      </c>
      <c r="AD52" s="5" t="s">
        <v>166</v>
      </c>
    </row>
    <row r="53" spans="1:30" ht="20">
      <c r="A53" s="16" t="s">
        <v>47</v>
      </c>
      <c r="B53" s="16" t="str">
        <f t="shared" si="7"/>
        <v xml:space="preserve">فرد </v>
      </c>
      <c r="C53" s="16" t="str">
        <f t="shared" si="8"/>
        <v xml:space="preserve">٦ اكتوبر الجيزه  </v>
      </c>
      <c r="D53" s="16" t="str">
        <f t="shared" si="9"/>
        <v>القاهرة</v>
      </c>
      <c r="E53" s="16" t="s">
        <v>159</v>
      </c>
      <c r="F53" s="16" t="s">
        <v>5</v>
      </c>
      <c r="G53" s="17" t="s">
        <v>58</v>
      </c>
      <c r="H53" s="16" t="s">
        <v>59</v>
      </c>
      <c r="I53" s="16" t="s">
        <v>241</v>
      </c>
      <c r="J53" s="16" t="s">
        <v>241</v>
      </c>
      <c r="K53" s="16" t="s">
        <v>156</v>
      </c>
      <c r="L53" s="16">
        <v>9399</v>
      </c>
      <c r="M53" s="16" t="s">
        <v>11</v>
      </c>
      <c r="N53" s="16" t="str">
        <f t="shared" si="11"/>
        <v>مسبق الدفع</v>
      </c>
      <c r="O53" s="18">
        <v>45549</v>
      </c>
      <c r="P53" s="18">
        <v>45594</v>
      </c>
      <c r="Q53" s="18">
        <v>45580</v>
      </c>
      <c r="R53" s="19">
        <f t="shared" si="4"/>
        <v>45</v>
      </c>
      <c r="S53" s="19">
        <f>IF(OR(ISBLANK(bb[[#This Row],[ميعاد الطلب]]),ISBLANK(bb[[#This Row],[تاريخ التسليم]])),0,bb[[#This Row],[تاريخ التسليم]]-bb[[#This Row],[ميعاد الطلب]])</f>
        <v>31</v>
      </c>
      <c r="T53" s="16" t="s">
        <v>215</v>
      </c>
      <c r="U53" s="16" t="s">
        <v>88</v>
      </c>
      <c r="AC53" s="5" t="s">
        <v>159</v>
      </c>
      <c r="AD53" s="5" t="s">
        <v>166</v>
      </c>
    </row>
    <row r="54" spans="1:30" ht="20">
      <c r="A54" s="16" t="s">
        <v>195</v>
      </c>
      <c r="B54" s="16" t="str">
        <f t="shared" si="7"/>
        <v xml:space="preserve">فرد </v>
      </c>
      <c r="C54" s="16" t="str">
        <f t="shared" si="8"/>
        <v xml:space="preserve">الشيخ زايد ٦ اكتوبر </v>
      </c>
      <c r="D54" s="16" t="str">
        <f t="shared" si="9"/>
        <v>القاهرة</v>
      </c>
      <c r="E54" s="16" t="s">
        <v>48</v>
      </c>
      <c r="F54" s="16" t="s">
        <v>5</v>
      </c>
      <c r="G54" s="17" t="s">
        <v>58</v>
      </c>
      <c r="H54" s="16" t="s">
        <v>61</v>
      </c>
      <c r="I54" s="16" t="s">
        <v>64</v>
      </c>
      <c r="J54" s="16">
        <v>140</v>
      </c>
      <c r="K54" s="16" t="s">
        <v>156</v>
      </c>
      <c r="L54" s="16">
        <v>11817</v>
      </c>
      <c r="M54" s="16" t="s">
        <v>11</v>
      </c>
      <c r="N54" s="16" t="str">
        <f t="shared" si="11"/>
        <v>مسبق الدفع</v>
      </c>
      <c r="O54" s="18">
        <v>45549</v>
      </c>
      <c r="P54" s="18">
        <v>45594</v>
      </c>
      <c r="Q54" s="18">
        <v>45580</v>
      </c>
      <c r="R54" s="19">
        <f t="shared" si="4"/>
        <v>45</v>
      </c>
      <c r="S54" s="19">
        <f>IF(OR(ISBLANK(bb[[#This Row],[ميعاد الطلب]]),ISBLANK(bb[[#This Row],[تاريخ التسليم]])),0,bb[[#This Row],[تاريخ التسليم]]-bb[[#This Row],[ميعاد الطلب]])</f>
        <v>31</v>
      </c>
      <c r="T54" s="16" t="s">
        <v>215</v>
      </c>
      <c r="U54" s="16" t="s">
        <v>88</v>
      </c>
      <c r="AC54" s="5" t="s">
        <v>48</v>
      </c>
      <c r="AD54" s="5" t="s">
        <v>166</v>
      </c>
    </row>
    <row r="55" spans="1:30" ht="20">
      <c r="A55" s="16" t="s">
        <v>196</v>
      </c>
      <c r="B55" s="16" t="str">
        <f t="shared" si="7"/>
        <v xml:space="preserve">فرد </v>
      </c>
      <c r="C55" s="16" t="str">
        <f t="shared" si="8"/>
        <v xml:space="preserve">الشروق </v>
      </c>
      <c r="D55" s="16" t="str">
        <f t="shared" si="9"/>
        <v>القاهرة</v>
      </c>
      <c r="E55" s="16" t="s">
        <v>160</v>
      </c>
      <c r="F55" s="16" t="s">
        <v>5</v>
      </c>
      <c r="G55" s="17" t="s">
        <v>136</v>
      </c>
      <c r="H55" s="16" t="s">
        <v>85</v>
      </c>
      <c r="I55" s="16" t="s">
        <v>241</v>
      </c>
      <c r="J55" s="16" t="s">
        <v>241</v>
      </c>
      <c r="K55" s="16" t="s">
        <v>241</v>
      </c>
      <c r="L55" s="16">
        <v>8349</v>
      </c>
      <c r="M55" s="16" t="s">
        <v>11</v>
      </c>
      <c r="N55" s="16" t="str">
        <f t="shared" si="11"/>
        <v>مسبق الدفع</v>
      </c>
      <c r="O55" s="18">
        <v>45549</v>
      </c>
      <c r="P55" s="18">
        <v>45594</v>
      </c>
      <c r="Q55" s="18">
        <v>45584</v>
      </c>
      <c r="R55" s="19">
        <f t="shared" si="4"/>
        <v>45</v>
      </c>
      <c r="S55" s="19">
        <f>IF(OR(ISBLANK(bb[[#This Row],[ميعاد الطلب]]),ISBLANK(bb[[#This Row],[تاريخ التسليم]])),0,bb[[#This Row],[تاريخ التسليم]]-bb[[#This Row],[ميعاد الطلب]])</f>
        <v>35</v>
      </c>
      <c r="T55" s="16" t="s">
        <v>215</v>
      </c>
      <c r="U55" s="16" t="s">
        <v>88</v>
      </c>
      <c r="AC55" s="5" t="s">
        <v>160</v>
      </c>
      <c r="AD55" s="5" t="s">
        <v>166</v>
      </c>
    </row>
    <row r="56" spans="1:30" ht="20">
      <c r="A56" s="16" t="s">
        <v>197</v>
      </c>
      <c r="B56" s="16" t="str">
        <f t="shared" si="7"/>
        <v xml:space="preserve">فرد </v>
      </c>
      <c r="C56" s="16" t="str">
        <f t="shared" si="8"/>
        <v>الرحاب</v>
      </c>
      <c r="D56" s="16" t="str">
        <f t="shared" si="9"/>
        <v>القاهرة</v>
      </c>
      <c r="E56" s="16" t="s">
        <v>49</v>
      </c>
      <c r="F56" s="16" t="s">
        <v>5</v>
      </c>
      <c r="G56" s="17" t="s">
        <v>58</v>
      </c>
      <c r="H56" s="16" t="s">
        <v>61</v>
      </c>
      <c r="I56" s="16" t="s">
        <v>78</v>
      </c>
      <c r="J56" s="16">
        <v>120</v>
      </c>
      <c r="K56" s="16" t="s">
        <v>155</v>
      </c>
      <c r="L56" s="16">
        <v>17886</v>
      </c>
      <c r="M56" s="16" t="s">
        <v>11</v>
      </c>
      <c r="N56" s="16" t="str">
        <f t="shared" si="11"/>
        <v>مسبق الدفع</v>
      </c>
      <c r="O56" s="18">
        <v>45549</v>
      </c>
      <c r="P56" s="18">
        <v>45594</v>
      </c>
      <c r="Q56" s="18"/>
      <c r="R56" s="19">
        <f t="shared" si="4"/>
        <v>45</v>
      </c>
      <c r="S56" s="19">
        <f>IF(OR(ISBLANK(bb[[#This Row],[ميعاد الطلب]]),ISBLANK(bb[[#This Row],[تاريخ التسليم]])),0,bb[[#This Row],[تاريخ التسليم]]-bb[[#This Row],[ميعاد الطلب]])</f>
        <v>0</v>
      </c>
      <c r="T56" s="16" t="s">
        <v>170</v>
      </c>
      <c r="U56" s="16" t="s">
        <v>150</v>
      </c>
      <c r="AC56" s="5" t="s">
        <v>49</v>
      </c>
      <c r="AD56" s="5" t="s">
        <v>166</v>
      </c>
    </row>
    <row r="57" spans="1:30" ht="20">
      <c r="A57" s="16" t="s">
        <v>197</v>
      </c>
      <c r="B57" s="16" t="str">
        <f t="shared" si="7"/>
        <v xml:space="preserve">فرد </v>
      </c>
      <c r="C57" s="16" t="str">
        <f t="shared" si="8"/>
        <v>الرحاب</v>
      </c>
      <c r="D57" s="16" t="str">
        <f t="shared" si="9"/>
        <v>القاهرة</v>
      </c>
      <c r="E57" s="16" t="s">
        <v>49</v>
      </c>
      <c r="F57" s="16" t="s">
        <v>5</v>
      </c>
      <c r="G57" s="17" t="s">
        <v>58</v>
      </c>
      <c r="H57" s="16" t="s">
        <v>61</v>
      </c>
      <c r="I57" s="16" t="s">
        <v>78</v>
      </c>
      <c r="J57" s="16">
        <v>120</v>
      </c>
      <c r="K57" s="16" t="s">
        <v>155</v>
      </c>
      <c r="L57" s="16">
        <v>17886</v>
      </c>
      <c r="M57" s="16" t="s">
        <v>11</v>
      </c>
      <c r="N57" s="16" t="str">
        <f t="shared" si="11"/>
        <v>مسبق الدفع</v>
      </c>
      <c r="O57" s="18">
        <v>45549</v>
      </c>
      <c r="P57" s="18">
        <v>45594</v>
      </c>
      <c r="Q57" s="18"/>
      <c r="R57" s="19">
        <f t="shared" si="4"/>
        <v>45</v>
      </c>
      <c r="S57" s="19">
        <f>IF(OR(ISBLANK(bb[[#This Row],[ميعاد الطلب]]),ISBLANK(bb[[#This Row],[تاريخ التسليم]])),0,bb[[#This Row],[تاريخ التسليم]]-bb[[#This Row],[ميعاد الطلب]])</f>
        <v>0</v>
      </c>
      <c r="T57" s="16" t="s">
        <v>170</v>
      </c>
      <c r="U57" s="16" t="s">
        <v>150</v>
      </c>
      <c r="AC57" s="5" t="s">
        <v>49</v>
      </c>
      <c r="AD57" s="5" t="s">
        <v>166</v>
      </c>
    </row>
    <row r="58" spans="1:30" ht="20">
      <c r="A58" s="16" t="s">
        <v>50</v>
      </c>
      <c r="B58" s="16" t="str">
        <f t="shared" si="7"/>
        <v xml:space="preserve">فرد </v>
      </c>
      <c r="C58" s="16" t="str">
        <f t="shared" si="8"/>
        <v>القاهره الجديده</v>
      </c>
      <c r="D58" s="16" t="str">
        <f t="shared" si="9"/>
        <v>القاهرة</v>
      </c>
      <c r="E58" s="16" t="s">
        <v>30</v>
      </c>
      <c r="F58" s="16" t="s">
        <v>5</v>
      </c>
      <c r="G58" s="17" t="s">
        <v>58</v>
      </c>
      <c r="H58" s="16" t="s">
        <v>61</v>
      </c>
      <c r="I58" s="16" t="s">
        <v>64</v>
      </c>
      <c r="J58" s="16">
        <v>120</v>
      </c>
      <c r="K58" s="16" t="s">
        <v>155</v>
      </c>
      <c r="L58" s="16">
        <v>10987</v>
      </c>
      <c r="M58" s="16" t="s">
        <v>11</v>
      </c>
      <c r="N58" s="16" t="str">
        <f t="shared" si="11"/>
        <v>مسبق الدفع</v>
      </c>
      <c r="O58" s="18">
        <v>45549</v>
      </c>
      <c r="P58" s="18">
        <v>45594</v>
      </c>
      <c r="Q58" s="18">
        <v>45578</v>
      </c>
      <c r="R58" s="19">
        <f t="shared" si="4"/>
        <v>45</v>
      </c>
      <c r="S58" s="19">
        <f>IF(OR(ISBLANK(bb[[#This Row],[ميعاد الطلب]]),ISBLANK(bb[[#This Row],[تاريخ التسليم]])),0,bb[[#This Row],[تاريخ التسليم]]-bb[[#This Row],[ميعاد الطلب]])</f>
        <v>29</v>
      </c>
      <c r="T58" s="16" t="s">
        <v>215</v>
      </c>
      <c r="U58" s="16" t="s">
        <v>88</v>
      </c>
      <c r="AC58" s="5" t="s">
        <v>30</v>
      </c>
      <c r="AD58" s="5" t="s">
        <v>166</v>
      </c>
    </row>
    <row r="59" spans="1:30" ht="20">
      <c r="A59" s="16" t="s">
        <v>50</v>
      </c>
      <c r="B59" s="16" t="str">
        <f t="shared" si="7"/>
        <v xml:space="preserve">فرد </v>
      </c>
      <c r="C59" s="16" t="str">
        <f t="shared" si="8"/>
        <v>القاهره الجديده</v>
      </c>
      <c r="D59" s="16" t="str">
        <f t="shared" si="9"/>
        <v>القاهرة</v>
      </c>
      <c r="E59" s="16" t="s">
        <v>30</v>
      </c>
      <c r="F59" s="16" t="s">
        <v>5</v>
      </c>
      <c r="G59" s="17" t="s">
        <v>58</v>
      </c>
      <c r="H59" s="16" t="s">
        <v>61</v>
      </c>
      <c r="I59" s="16" t="s">
        <v>64</v>
      </c>
      <c r="J59" s="16">
        <v>120</v>
      </c>
      <c r="K59" s="16" t="s">
        <v>155</v>
      </c>
      <c r="L59" s="16">
        <v>10987</v>
      </c>
      <c r="M59" s="16" t="s">
        <v>11</v>
      </c>
      <c r="N59" s="16" t="str">
        <f t="shared" si="11"/>
        <v>مسبق الدفع</v>
      </c>
      <c r="O59" s="18">
        <v>45549</v>
      </c>
      <c r="P59" s="18">
        <v>45594</v>
      </c>
      <c r="Q59" s="18">
        <v>45578</v>
      </c>
      <c r="R59" s="19">
        <f t="shared" si="4"/>
        <v>45</v>
      </c>
      <c r="S59" s="19">
        <f>IF(OR(ISBLANK(bb[[#This Row],[ميعاد الطلب]]),ISBLANK(bb[[#This Row],[تاريخ التسليم]])),0,bb[[#This Row],[تاريخ التسليم]]-bb[[#This Row],[ميعاد الطلب]])</f>
        <v>29</v>
      </c>
      <c r="T59" s="16" t="s">
        <v>215</v>
      </c>
      <c r="U59" s="16" t="s">
        <v>88</v>
      </c>
      <c r="AC59" s="5" t="s">
        <v>30</v>
      </c>
      <c r="AD59" s="5" t="s">
        <v>166</v>
      </c>
    </row>
    <row r="60" spans="1:30" ht="20">
      <c r="A60" s="16" t="s">
        <v>198</v>
      </c>
      <c r="B60" s="16" t="str">
        <f t="shared" si="7"/>
        <v xml:space="preserve">فرد </v>
      </c>
      <c r="C60" s="16" t="str">
        <f t="shared" si="8"/>
        <v>العبور</v>
      </c>
      <c r="D60" s="16" t="str">
        <f t="shared" si="9"/>
        <v>القاهرة</v>
      </c>
      <c r="E60" s="16" t="s">
        <v>52</v>
      </c>
      <c r="F60" s="16" t="s">
        <v>5</v>
      </c>
      <c r="G60" s="17" t="s">
        <v>136</v>
      </c>
      <c r="H60" s="16" t="s">
        <v>83</v>
      </c>
      <c r="I60" s="16" t="s">
        <v>241</v>
      </c>
      <c r="J60" s="16" t="s">
        <v>241</v>
      </c>
      <c r="K60" s="16" t="s">
        <v>241</v>
      </c>
      <c r="L60" s="16">
        <v>10319</v>
      </c>
      <c r="M60" s="16" t="s">
        <v>11</v>
      </c>
      <c r="N60" s="16" t="str">
        <f t="shared" si="11"/>
        <v>مسبق الدفع</v>
      </c>
      <c r="O60" s="18">
        <v>45549</v>
      </c>
      <c r="P60" s="18">
        <v>45594</v>
      </c>
      <c r="Q60" s="18">
        <v>45584</v>
      </c>
      <c r="R60" s="19">
        <f t="shared" si="4"/>
        <v>45</v>
      </c>
      <c r="S60" s="19">
        <f>IF(OR(ISBLANK(bb[[#This Row],[ميعاد الطلب]]),ISBLANK(bb[[#This Row],[تاريخ التسليم]])),0,bb[[#This Row],[تاريخ التسليم]]-bb[[#This Row],[ميعاد الطلب]])</f>
        <v>35</v>
      </c>
      <c r="T60" s="16" t="s">
        <v>215</v>
      </c>
      <c r="U60" s="16" t="s">
        <v>88</v>
      </c>
      <c r="AC60" s="5" t="s">
        <v>52</v>
      </c>
      <c r="AD60" s="5" t="s">
        <v>166</v>
      </c>
    </row>
    <row r="61" spans="1:30" ht="20">
      <c r="A61" s="16" t="s">
        <v>199</v>
      </c>
      <c r="B61" s="16" t="str">
        <f t="shared" si="7"/>
        <v xml:space="preserve">فرد </v>
      </c>
      <c r="C61" s="16" t="str">
        <f t="shared" si="8"/>
        <v xml:space="preserve">اسيوط </v>
      </c>
      <c r="D61" s="16" t="str">
        <f t="shared" si="9"/>
        <v>القاهرة</v>
      </c>
      <c r="E61" s="16" t="s">
        <v>44</v>
      </c>
      <c r="F61" s="16" t="s">
        <v>5</v>
      </c>
      <c r="G61" s="17" t="s">
        <v>58</v>
      </c>
      <c r="H61" s="16" t="s">
        <v>145</v>
      </c>
      <c r="I61" s="16" t="s">
        <v>63</v>
      </c>
      <c r="J61" s="16">
        <v>120</v>
      </c>
      <c r="K61" s="16" t="s">
        <v>73</v>
      </c>
      <c r="L61" s="16">
        <v>12999</v>
      </c>
      <c r="M61" s="16" t="s">
        <v>11</v>
      </c>
      <c r="N61" s="16" t="str">
        <f t="shared" si="11"/>
        <v>مسبق الدفع</v>
      </c>
      <c r="O61" s="18">
        <v>45549</v>
      </c>
      <c r="P61" s="18">
        <v>45616</v>
      </c>
      <c r="Q61" s="18">
        <v>45582</v>
      </c>
      <c r="R61" s="19">
        <f t="shared" si="4"/>
        <v>67</v>
      </c>
      <c r="S61" s="19">
        <f>IF(OR(ISBLANK(bb[[#This Row],[ميعاد الطلب]]),ISBLANK(bb[[#This Row],[تاريخ التسليم]])),0,bb[[#This Row],[تاريخ التسليم]]-bb[[#This Row],[ميعاد الطلب]])</f>
        <v>33</v>
      </c>
      <c r="T61" s="16" t="s">
        <v>213</v>
      </c>
      <c r="U61" s="16" t="s">
        <v>88</v>
      </c>
      <c r="AC61" s="5" t="s">
        <v>44</v>
      </c>
      <c r="AD61" s="5" t="s">
        <v>166</v>
      </c>
    </row>
    <row r="62" spans="1:30" ht="20">
      <c r="A62" s="16" t="s">
        <v>45</v>
      </c>
      <c r="B62" s="16" t="str">
        <f t="shared" si="7"/>
        <v xml:space="preserve">فرد </v>
      </c>
      <c r="C62" s="16" t="str">
        <f t="shared" si="8"/>
        <v>الغردقه</v>
      </c>
      <c r="D62" s="16" t="str">
        <f t="shared" si="9"/>
        <v>البحر الأحمر</v>
      </c>
      <c r="E62" s="16" t="s">
        <v>46</v>
      </c>
      <c r="F62" s="16" t="s">
        <v>5</v>
      </c>
      <c r="G62" s="17" t="s">
        <v>69</v>
      </c>
      <c r="H62" s="16" t="s">
        <v>92</v>
      </c>
      <c r="I62" s="16"/>
      <c r="J62" s="16"/>
      <c r="K62" s="16" t="s">
        <v>156</v>
      </c>
      <c r="L62" s="16">
        <v>21999</v>
      </c>
      <c r="M62" s="16" t="s">
        <v>11</v>
      </c>
      <c r="N62" s="16" t="str">
        <f t="shared" si="11"/>
        <v>مسبق الدفع</v>
      </c>
      <c r="O62" s="18">
        <v>45549</v>
      </c>
      <c r="P62" s="18">
        <v>45616</v>
      </c>
      <c r="Q62" s="18"/>
      <c r="R62" s="19">
        <f t="shared" si="4"/>
        <v>67</v>
      </c>
      <c r="S62" s="19">
        <f>IF(OR(ISBLANK(bb[[#This Row],[ميعاد الطلب]]),ISBLANK(bb[[#This Row],[تاريخ التسليم]])),0,bb[[#This Row],[تاريخ التسليم]]-bb[[#This Row],[ميعاد الطلب]])</f>
        <v>0</v>
      </c>
      <c r="T62" s="16" t="s">
        <v>170</v>
      </c>
      <c r="U62" s="16" t="s">
        <v>150</v>
      </c>
      <c r="AC62" s="5" t="s">
        <v>46</v>
      </c>
      <c r="AD62" s="5" t="s">
        <v>165</v>
      </c>
    </row>
    <row r="63" spans="1:30" ht="20">
      <c r="A63" s="16" t="s">
        <v>200</v>
      </c>
      <c r="B63" s="16" t="str">
        <f t="shared" si="7"/>
        <v xml:space="preserve">فرد </v>
      </c>
      <c r="C63" s="16" t="str">
        <f t="shared" si="8"/>
        <v xml:space="preserve">الشروق </v>
      </c>
      <c r="D63" s="16" t="str">
        <f t="shared" si="9"/>
        <v>القاهرة</v>
      </c>
      <c r="E63" s="16" t="s">
        <v>160</v>
      </c>
      <c r="F63" s="16" t="s">
        <v>5</v>
      </c>
      <c r="G63" s="17" t="s">
        <v>58</v>
      </c>
      <c r="H63" s="16" t="s">
        <v>145</v>
      </c>
      <c r="I63" s="16" t="s">
        <v>60</v>
      </c>
      <c r="J63" s="16">
        <v>100</v>
      </c>
      <c r="K63" s="16" t="s">
        <v>73</v>
      </c>
      <c r="L63" s="16">
        <v>12399</v>
      </c>
      <c r="M63" s="16" t="s">
        <v>11</v>
      </c>
      <c r="N63" s="16" t="str">
        <f t="shared" si="11"/>
        <v>مسبق الدفع</v>
      </c>
      <c r="O63" s="18">
        <v>45549</v>
      </c>
      <c r="P63" s="18">
        <v>45616</v>
      </c>
      <c r="Q63" s="18">
        <v>45566</v>
      </c>
      <c r="R63" s="19">
        <f t="shared" si="4"/>
        <v>67</v>
      </c>
      <c r="S63" s="19">
        <f>IF(OR(ISBLANK(bb[[#This Row],[ميعاد الطلب]]),ISBLANK(bb[[#This Row],[تاريخ التسليم]])),0,bb[[#This Row],[تاريخ التسليم]]-bb[[#This Row],[ميعاد الطلب]])</f>
        <v>17</v>
      </c>
      <c r="T63" s="16" t="s">
        <v>213</v>
      </c>
      <c r="U63" s="16" t="s">
        <v>88</v>
      </c>
      <c r="AC63" s="5" t="s">
        <v>160</v>
      </c>
      <c r="AD63" s="5" t="s">
        <v>166</v>
      </c>
    </row>
    <row r="64" spans="1:30" ht="20">
      <c r="A64" s="16" t="s">
        <v>51</v>
      </c>
      <c r="B64" s="16" t="str">
        <f t="shared" si="7"/>
        <v xml:space="preserve">فرد </v>
      </c>
      <c r="C64" s="16" t="str">
        <f t="shared" si="8"/>
        <v>القاهره الجديده</v>
      </c>
      <c r="D64" s="16" t="str">
        <f t="shared" si="9"/>
        <v>القاهرة</v>
      </c>
      <c r="E64" s="16" t="s">
        <v>30</v>
      </c>
      <c r="F64" s="16" t="s">
        <v>5</v>
      </c>
      <c r="G64" s="17" t="s">
        <v>69</v>
      </c>
      <c r="H64" s="16" t="s">
        <v>92</v>
      </c>
      <c r="I64" s="16" t="s">
        <v>241</v>
      </c>
      <c r="J64" s="16" t="s">
        <v>241</v>
      </c>
      <c r="K64" s="16" t="s">
        <v>156</v>
      </c>
      <c r="L64" s="16">
        <v>21999</v>
      </c>
      <c r="M64" s="16" t="s">
        <v>11</v>
      </c>
      <c r="N64" s="16" t="str">
        <f t="shared" si="11"/>
        <v>مسبق الدفع</v>
      </c>
      <c r="O64" s="18">
        <v>45549</v>
      </c>
      <c r="P64" s="18">
        <v>45616</v>
      </c>
      <c r="Q64" s="18">
        <v>45574</v>
      </c>
      <c r="R64" s="19">
        <f t="shared" si="4"/>
        <v>67</v>
      </c>
      <c r="S64" s="19">
        <f>IF(OR(ISBLANK(bb[[#This Row],[ميعاد الطلب]]),ISBLANK(bb[[#This Row],[تاريخ التسليم]])),0,bb[[#This Row],[تاريخ التسليم]]-bb[[#This Row],[ميعاد الطلب]])</f>
        <v>25</v>
      </c>
      <c r="T64" s="16" t="s">
        <v>215</v>
      </c>
      <c r="U64" s="16" t="s">
        <v>88</v>
      </c>
      <c r="AC64" s="5" t="s">
        <v>30</v>
      </c>
      <c r="AD64" s="5" t="s">
        <v>166</v>
      </c>
    </row>
    <row r="65" spans="1:30" ht="20">
      <c r="A65" s="16" t="s">
        <v>201</v>
      </c>
      <c r="B65" s="16" t="str">
        <f t="shared" si="7"/>
        <v xml:space="preserve">فرد </v>
      </c>
      <c r="C65" s="16" t="str">
        <f t="shared" si="8"/>
        <v xml:space="preserve">المقطم </v>
      </c>
      <c r="D65" s="16" t="str">
        <f t="shared" si="9"/>
        <v>القاهرة</v>
      </c>
      <c r="E65" s="16" t="s">
        <v>29</v>
      </c>
      <c r="F65" s="16" t="s">
        <v>5</v>
      </c>
      <c r="G65" s="17" t="s">
        <v>58</v>
      </c>
      <c r="H65" s="16" t="s">
        <v>145</v>
      </c>
      <c r="I65" s="16" t="s">
        <v>60</v>
      </c>
      <c r="J65" s="16">
        <v>80</v>
      </c>
      <c r="K65" s="16" t="s">
        <v>155</v>
      </c>
      <c r="L65" s="16">
        <v>10999</v>
      </c>
      <c r="M65" s="16" t="s">
        <v>11</v>
      </c>
      <c r="N65" s="16" t="str">
        <f t="shared" si="11"/>
        <v>مسبق الدفع</v>
      </c>
      <c r="O65" s="18">
        <v>45549</v>
      </c>
      <c r="P65" s="18">
        <v>45616</v>
      </c>
      <c r="Q65" s="18">
        <v>45581</v>
      </c>
      <c r="R65" s="19">
        <f t="shared" si="4"/>
        <v>67</v>
      </c>
      <c r="S65" s="19">
        <f>IF(OR(ISBLANK(bb[[#This Row],[ميعاد الطلب]]),ISBLANK(bb[[#This Row],[تاريخ التسليم]])),0,bb[[#This Row],[تاريخ التسليم]]-bb[[#This Row],[ميعاد الطلب]])</f>
        <v>32</v>
      </c>
      <c r="T65" s="16" t="s">
        <v>215</v>
      </c>
      <c r="U65" s="16" t="s">
        <v>88</v>
      </c>
      <c r="AC65" s="5" t="s">
        <v>29</v>
      </c>
      <c r="AD65" s="5" t="s">
        <v>166</v>
      </c>
    </row>
    <row r="66" spans="1:30" ht="20">
      <c r="A66" s="16" t="s">
        <v>80</v>
      </c>
      <c r="B66" s="16" t="str">
        <f t="shared" ref="B66:B97" si="12">IF(OR(A66="تاكي",A66= "شيك هومز",A66= "اوسكار راتن" ), "شركة ","فرد ")</f>
        <v xml:space="preserve">فرد </v>
      </c>
      <c r="C66" s="16" t="str">
        <f t="shared" ref="C66:C97" si="13">VLOOKUP(E66,AC:AD,1,0)</f>
        <v>المعادى</v>
      </c>
      <c r="D66" s="16" t="str">
        <f t="shared" ref="D66:D97" si="14">VLOOKUP(E66,AC:AD,2,0)</f>
        <v>الجيزة</v>
      </c>
      <c r="E66" s="16" t="s">
        <v>43</v>
      </c>
      <c r="F66" s="16" t="s">
        <v>5</v>
      </c>
      <c r="G66" s="17" t="s">
        <v>58</v>
      </c>
      <c r="H66" s="16" t="s">
        <v>145</v>
      </c>
      <c r="I66" s="16" t="s">
        <v>63</v>
      </c>
      <c r="J66" s="16">
        <v>80</v>
      </c>
      <c r="K66" s="16" t="s">
        <v>155</v>
      </c>
      <c r="L66" s="16">
        <v>10999</v>
      </c>
      <c r="M66" s="16" t="s">
        <v>11</v>
      </c>
      <c r="N66" s="16" t="str">
        <f t="shared" si="11"/>
        <v>مسبق الدفع</v>
      </c>
      <c r="O66" s="18">
        <v>45550</v>
      </c>
      <c r="P66" s="18">
        <v>45616</v>
      </c>
      <c r="Q66" s="18">
        <v>45581</v>
      </c>
      <c r="R66" s="19">
        <f t="shared" si="4"/>
        <v>66</v>
      </c>
      <c r="S66" s="19">
        <f>IF(OR(ISBLANK(bb[[#This Row],[ميعاد الطلب]]),ISBLANK(bb[[#This Row],[تاريخ التسليم]])),0,bb[[#This Row],[تاريخ التسليم]]-bb[[#This Row],[ميعاد الطلب]])</f>
        <v>31</v>
      </c>
      <c r="T66" s="16" t="s">
        <v>215</v>
      </c>
      <c r="U66" s="16" t="s">
        <v>88</v>
      </c>
      <c r="AC66" s="5" t="s">
        <v>43</v>
      </c>
      <c r="AD66" s="5" t="s">
        <v>166</v>
      </c>
    </row>
    <row r="67" spans="1:30" ht="20">
      <c r="A67" s="16" t="s">
        <v>80</v>
      </c>
      <c r="B67" s="16" t="str">
        <f t="shared" si="12"/>
        <v xml:space="preserve">فرد </v>
      </c>
      <c r="C67" s="16" t="str">
        <f t="shared" si="13"/>
        <v>المعادى</v>
      </c>
      <c r="D67" s="16" t="str">
        <f t="shared" si="14"/>
        <v>الجيزة</v>
      </c>
      <c r="E67" s="16" t="s">
        <v>43</v>
      </c>
      <c r="F67" s="16" t="s">
        <v>5</v>
      </c>
      <c r="G67" s="17" t="s">
        <v>58</v>
      </c>
      <c r="H67" s="16" t="s">
        <v>145</v>
      </c>
      <c r="I67" s="16" t="s">
        <v>63</v>
      </c>
      <c r="J67" s="16">
        <v>80</v>
      </c>
      <c r="K67" s="16" t="s">
        <v>155</v>
      </c>
      <c r="L67" s="16">
        <v>10999</v>
      </c>
      <c r="M67" s="16" t="s">
        <v>11</v>
      </c>
      <c r="N67" s="16" t="str">
        <f t="shared" si="11"/>
        <v>مسبق الدفع</v>
      </c>
      <c r="O67" s="18">
        <v>45550</v>
      </c>
      <c r="P67" s="18">
        <v>45616</v>
      </c>
      <c r="Q67" s="18">
        <v>45581</v>
      </c>
      <c r="R67" s="19">
        <f t="shared" ref="R67:R122" si="15">IF(OR(ISBLANK(P67),ISBLANK(O67)),0,P67-O67)</f>
        <v>66</v>
      </c>
      <c r="S67" s="19">
        <f>IF(OR(ISBLANK(bb[[#This Row],[ميعاد الطلب]]),ISBLANK(bb[[#This Row],[تاريخ التسليم]])),0,bb[[#This Row],[تاريخ التسليم]]-bb[[#This Row],[ميعاد الطلب]])</f>
        <v>31</v>
      </c>
      <c r="T67" s="16" t="s">
        <v>215</v>
      </c>
      <c r="U67" s="16" t="s">
        <v>88</v>
      </c>
      <c r="AC67" s="5" t="s">
        <v>43</v>
      </c>
      <c r="AD67" s="5" t="s">
        <v>166</v>
      </c>
    </row>
    <row r="68" spans="1:30" ht="20">
      <c r="A68" s="16" t="s">
        <v>81</v>
      </c>
      <c r="B68" s="16" t="str">
        <f t="shared" si="12"/>
        <v xml:space="preserve">فرد </v>
      </c>
      <c r="C68" s="16" t="str">
        <f t="shared" si="13"/>
        <v>Madinet Badr</v>
      </c>
      <c r="D68" s="16" t="str">
        <f t="shared" si="14"/>
        <v>القاهرة</v>
      </c>
      <c r="E68" s="16" t="s">
        <v>82</v>
      </c>
      <c r="F68" s="16" t="s">
        <v>5</v>
      </c>
      <c r="G68" s="17" t="s">
        <v>69</v>
      </c>
      <c r="H68" s="16" t="s">
        <v>92</v>
      </c>
      <c r="I68" s="16" t="s">
        <v>241</v>
      </c>
      <c r="J68" s="16" t="s">
        <v>241</v>
      </c>
      <c r="K68" s="16" t="s">
        <v>156</v>
      </c>
      <c r="L68" s="16">
        <v>21999</v>
      </c>
      <c r="M68" s="16" t="s">
        <v>11</v>
      </c>
      <c r="N68" s="16" t="str">
        <f t="shared" si="11"/>
        <v>مسبق الدفع</v>
      </c>
      <c r="O68" s="18">
        <v>45550</v>
      </c>
      <c r="P68" s="18">
        <v>45616</v>
      </c>
      <c r="Q68" s="18">
        <v>45584</v>
      </c>
      <c r="R68" s="19">
        <f t="shared" si="15"/>
        <v>66</v>
      </c>
      <c r="S68" s="19">
        <f>IF(OR(ISBLANK(bb[[#This Row],[ميعاد الطلب]]),ISBLANK(bb[[#This Row],[تاريخ التسليم]])),0,bb[[#This Row],[تاريخ التسليم]]-bb[[#This Row],[ميعاد الطلب]])</f>
        <v>34</v>
      </c>
      <c r="T68" s="16" t="s">
        <v>215</v>
      </c>
      <c r="U68" s="16" t="s">
        <v>88</v>
      </c>
      <c r="AC68" s="5" t="s">
        <v>82</v>
      </c>
      <c r="AD68" s="5" t="s">
        <v>166</v>
      </c>
    </row>
    <row r="69" spans="1:30" ht="20" hidden="1">
      <c r="A69" s="16" t="s">
        <v>87</v>
      </c>
      <c r="B69" s="16" t="str">
        <f t="shared" si="12"/>
        <v xml:space="preserve">فرد </v>
      </c>
      <c r="C69" s="16" t="str">
        <f t="shared" si="13"/>
        <v>العين السخنه</v>
      </c>
      <c r="D69" s="16" t="str">
        <f t="shared" si="14"/>
        <v>العين السخنه</v>
      </c>
      <c r="E69" s="16" t="s">
        <v>55</v>
      </c>
      <c r="F69" s="16" t="s">
        <v>5</v>
      </c>
      <c r="G69" s="17" t="s">
        <v>136</v>
      </c>
      <c r="H69" s="16" t="s">
        <v>83</v>
      </c>
      <c r="I69" s="16" t="s">
        <v>241</v>
      </c>
      <c r="J69" s="16" t="s">
        <v>241</v>
      </c>
      <c r="K69" s="16" t="s">
        <v>241</v>
      </c>
      <c r="L69" s="16">
        <v>7849</v>
      </c>
      <c r="M69" s="16">
        <v>6306</v>
      </c>
      <c r="N69" s="16" t="str">
        <f t="shared" ref="N69:N78" si="16">IF(ISNUMBER(M69),"كاش", M69)</f>
        <v>كاش</v>
      </c>
      <c r="O69" s="18">
        <v>45551</v>
      </c>
      <c r="P69" s="18">
        <v>45595</v>
      </c>
      <c r="Q69" s="18">
        <v>45610</v>
      </c>
      <c r="R69" s="19">
        <f t="shared" si="15"/>
        <v>44</v>
      </c>
      <c r="S69" s="19">
        <f>IF(OR(ISBLANK(bb[[#This Row],[ميعاد الطلب]]),ISBLANK(bb[[#This Row],[تاريخ التسليم]])),0,bb[[#This Row],[تاريخ التسليم]]-bb[[#This Row],[ميعاد الطلب]])</f>
        <v>59</v>
      </c>
      <c r="T69" s="16" t="s">
        <v>213</v>
      </c>
      <c r="U69" s="16" t="s">
        <v>88</v>
      </c>
      <c r="AC69" s="5" t="s">
        <v>55</v>
      </c>
      <c r="AD69" s="5" t="s">
        <v>166</v>
      </c>
    </row>
    <row r="70" spans="1:30" ht="20" hidden="1">
      <c r="A70" s="16" t="s">
        <v>36</v>
      </c>
      <c r="B70" s="16" t="str">
        <f t="shared" si="12"/>
        <v xml:space="preserve">شركة </v>
      </c>
      <c r="C70" s="16" t="str">
        <f t="shared" si="13"/>
        <v xml:space="preserve">المخزن ابو الغيط </v>
      </c>
      <c r="D70" s="16" t="str">
        <f t="shared" si="14"/>
        <v>القاهرة</v>
      </c>
      <c r="E70" s="16" t="s">
        <v>89</v>
      </c>
      <c r="F70" s="16" t="s">
        <v>26</v>
      </c>
      <c r="G70" s="17" t="s">
        <v>58</v>
      </c>
      <c r="H70" s="16" t="s">
        <v>145</v>
      </c>
      <c r="I70" s="16" t="s">
        <v>63</v>
      </c>
      <c r="J70" s="16">
        <v>80</v>
      </c>
      <c r="K70" s="16" t="s">
        <v>155</v>
      </c>
      <c r="L70" s="16">
        <v>5074</v>
      </c>
      <c r="M70" s="16" t="s">
        <v>38</v>
      </c>
      <c r="N70" s="16" t="str">
        <f t="shared" si="16"/>
        <v>حساب شركه</v>
      </c>
      <c r="O70" s="18">
        <v>45556</v>
      </c>
      <c r="P70" s="18">
        <v>45570</v>
      </c>
      <c r="Q70" s="18">
        <v>45577</v>
      </c>
      <c r="R70" s="19">
        <f t="shared" si="15"/>
        <v>14</v>
      </c>
      <c r="S70" s="19">
        <f>IF(OR(ISBLANK(bb[[#This Row],[ميعاد الطلب]]),ISBLANK(bb[[#This Row],[تاريخ التسليم]])),0,bb[[#This Row],[تاريخ التسليم]]-bb[[#This Row],[ميعاد الطلب]])</f>
        <v>21</v>
      </c>
      <c r="T70" s="16" t="s">
        <v>215</v>
      </c>
      <c r="U70" s="16" t="s">
        <v>88</v>
      </c>
      <c r="AC70" s="5" t="s">
        <v>89</v>
      </c>
      <c r="AD70" s="5" t="s">
        <v>166</v>
      </c>
    </row>
    <row r="71" spans="1:30" ht="20" hidden="1">
      <c r="A71" s="16" t="s">
        <v>173</v>
      </c>
      <c r="B71" s="16" t="str">
        <f t="shared" si="12"/>
        <v xml:space="preserve">شركة </v>
      </c>
      <c r="C71" s="16" t="str">
        <f t="shared" si="13"/>
        <v>العباسية</v>
      </c>
      <c r="D71" s="16" t="str">
        <f t="shared" si="14"/>
        <v>القاهرة</v>
      </c>
      <c r="E71" s="16" t="s">
        <v>167</v>
      </c>
      <c r="F71" s="16" t="s">
        <v>173</v>
      </c>
      <c r="G71" s="17" t="s">
        <v>58</v>
      </c>
      <c r="H71" s="16" t="s">
        <v>145</v>
      </c>
      <c r="I71" s="16" t="s">
        <v>62</v>
      </c>
      <c r="J71" s="16">
        <v>100</v>
      </c>
      <c r="K71" s="16" t="s">
        <v>157</v>
      </c>
      <c r="L71" s="16">
        <v>6250</v>
      </c>
      <c r="M71" s="16" t="s">
        <v>38</v>
      </c>
      <c r="N71" s="16" t="str">
        <f t="shared" si="16"/>
        <v>حساب شركه</v>
      </c>
      <c r="O71" s="18">
        <v>45558</v>
      </c>
      <c r="P71" s="18">
        <v>45573</v>
      </c>
      <c r="Q71" s="18">
        <v>45582</v>
      </c>
      <c r="R71" s="19">
        <f t="shared" si="15"/>
        <v>15</v>
      </c>
      <c r="S71" s="19">
        <f>IF(OR(ISBLANK(bb[[#This Row],[ميعاد الطلب]]),ISBLANK(bb[[#This Row],[تاريخ التسليم]])),0,bb[[#This Row],[تاريخ التسليم]]-bb[[#This Row],[ميعاد الطلب]])</f>
        <v>24</v>
      </c>
      <c r="T71" s="16" t="s">
        <v>215</v>
      </c>
      <c r="U71" s="16" t="s">
        <v>88</v>
      </c>
      <c r="AC71" s="5" t="s">
        <v>167</v>
      </c>
      <c r="AD71" s="5" t="s">
        <v>166</v>
      </c>
    </row>
    <row r="72" spans="1:30" ht="20" hidden="1">
      <c r="A72" s="16" t="s">
        <v>173</v>
      </c>
      <c r="B72" s="16" t="str">
        <f t="shared" si="12"/>
        <v xml:space="preserve">شركة </v>
      </c>
      <c r="C72" s="16" t="str">
        <f t="shared" si="13"/>
        <v>العباسية</v>
      </c>
      <c r="D72" s="16" t="str">
        <f t="shared" si="14"/>
        <v>القاهرة</v>
      </c>
      <c r="E72" s="16" t="s">
        <v>167</v>
      </c>
      <c r="F72" s="16" t="s">
        <v>173</v>
      </c>
      <c r="G72" s="17" t="s">
        <v>58</v>
      </c>
      <c r="H72" s="16" t="s">
        <v>145</v>
      </c>
      <c r="I72" s="16" t="s">
        <v>62</v>
      </c>
      <c r="J72" s="16">
        <v>100</v>
      </c>
      <c r="K72" s="16" t="s">
        <v>157</v>
      </c>
      <c r="L72" s="16">
        <v>6250</v>
      </c>
      <c r="M72" s="16" t="s">
        <v>38</v>
      </c>
      <c r="N72" s="16" t="str">
        <f t="shared" si="16"/>
        <v>حساب شركه</v>
      </c>
      <c r="O72" s="18">
        <v>45558</v>
      </c>
      <c r="P72" s="18">
        <v>45573</v>
      </c>
      <c r="Q72" s="18">
        <v>45582</v>
      </c>
      <c r="R72" s="19">
        <f t="shared" si="15"/>
        <v>15</v>
      </c>
      <c r="S72" s="19">
        <f>IF(OR(ISBLANK(bb[[#This Row],[ميعاد الطلب]]),ISBLANK(bb[[#This Row],[تاريخ التسليم]])),0,bb[[#This Row],[تاريخ التسليم]]-bb[[#This Row],[ميعاد الطلب]])</f>
        <v>24</v>
      </c>
      <c r="T72" s="16" t="s">
        <v>215</v>
      </c>
      <c r="U72" s="16" t="s">
        <v>88</v>
      </c>
      <c r="AC72" s="5" t="s">
        <v>167</v>
      </c>
      <c r="AD72" s="5" t="s">
        <v>166</v>
      </c>
    </row>
    <row r="73" spans="1:30" ht="20" hidden="1">
      <c r="A73" s="16" t="s">
        <v>90</v>
      </c>
      <c r="B73" s="16" t="str">
        <f t="shared" si="12"/>
        <v xml:space="preserve">فرد </v>
      </c>
      <c r="C73" s="16" t="str">
        <f t="shared" si="13"/>
        <v>العباسية</v>
      </c>
      <c r="D73" s="16" t="str">
        <f t="shared" si="14"/>
        <v>القاهرة</v>
      </c>
      <c r="E73" s="16" t="s">
        <v>167</v>
      </c>
      <c r="F73" s="16" t="s">
        <v>5</v>
      </c>
      <c r="G73" s="17" t="s">
        <v>58</v>
      </c>
      <c r="H73" s="16" t="s">
        <v>61</v>
      </c>
      <c r="I73" s="16" t="s">
        <v>78</v>
      </c>
      <c r="J73" s="16">
        <v>120</v>
      </c>
      <c r="K73" s="16" t="s">
        <v>155</v>
      </c>
      <c r="L73" s="16">
        <v>8943</v>
      </c>
      <c r="M73" s="16">
        <v>9033</v>
      </c>
      <c r="N73" s="16" t="str">
        <f t="shared" si="16"/>
        <v>كاش</v>
      </c>
      <c r="O73" s="18">
        <v>45561</v>
      </c>
      <c r="P73" s="18">
        <v>45606</v>
      </c>
      <c r="Q73" s="18">
        <v>45575</v>
      </c>
      <c r="R73" s="19">
        <f t="shared" si="15"/>
        <v>45</v>
      </c>
      <c r="S73" s="19">
        <f>IF(OR(ISBLANK(bb[[#This Row],[ميعاد الطلب]]),ISBLANK(bb[[#This Row],[تاريخ التسليم]])),0,bb[[#This Row],[تاريخ التسليم]]-bb[[#This Row],[ميعاد الطلب]])</f>
        <v>14</v>
      </c>
      <c r="T73" s="16" t="s">
        <v>215</v>
      </c>
      <c r="U73" s="16" t="s">
        <v>88</v>
      </c>
      <c r="AC73" s="5" t="s">
        <v>167</v>
      </c>
      <c r="AD73" s="5" t="s">
        <v>166</v>
      </c>
    </row>
    <row r="74" spans="1:30" ht="20" hidden="1">
      <c r="A74" s="16" t="s">
        <v>91</v>
      </c>
      <c r="B74" s="16" t="str">
        <f t="shared" si="12"/>
        <v xml:space="preserve">فرد </v>
      </c>
      <c r="C74" s="16" t="str">
        <f t="shared" si="13"/>
        <v xml:space="preserve">٦ اكتوبر الجيزه  </v>
      </c>
      <c r="D74" s="16" t="str">
        <f t="shared" si="14"/>
        <v>القاهرة</v>
      </c>
      <c r="E74" s="16" t="s">
        <v>159</v>
      </c>
      <c r="F74" s="16" t="s">
        <v>5</v>
      </c>
      <c r="G74" s="17" t="s">
        <v>136</v>
      </c>
      <c r="H74" s="16" t="s">
        <v>85</v>
      </c>
      <c r="I74" s="16"/>
      <c r="J74" s="16"/>
      <c r="K74" s="16"/>
      <c r="L74" s="16">
        <v>8349</v>
      </c>
      <c r="M74" s="16">
        <v>8433</v>
      </c>
      <c r="N74" s="16" t="str">
        <f t="shared" si="16"/>
        <v>كاش</v>
      </c>
      <c r="O74" s="18">
        <v>45561</v>
      </c>
      <c r="P74" s="18">
        <v>45606</v>
      </c>
      <c r="Q74" s="18"/>
      <c r="R74" s="19">
        <f t="shared" si="15"/>
        <v>45</v>
      </c>
      <c r="S74" s="19">
        <f>IF(OR(ISBLANK(bb[[#This Row],[ميعاد الطلب]]),ISBLANK(bb[[#This Row],[تاريخ التسليم]])),0,bb[[#This Row],[تاريخ التسليم]]-bb[[#This Row],[ميعاد الطلب]])</f>
        <v>0</v>
      </c>
      <c r="T74" s="16" t="s">
        <v>170</v>
      </c>
      <c r="U74" s="16" t="s">
        <v>150</v>
      </c>
      <c r="AC74" s="5" t="s">
        <v>159</v>
      </c>
      <c r="AD74" s="5" t="s">
        <v>166</v>
      </c>
    </row>
    <row r="75" spans="1:30" ht="20">
      <c r="A75" s="16" t="s">
        <v>24</v>
      </c>
      <c r="B75" s="16" t="str">
        <f t="shared" si="12"/>
        <v xml:space="preserve">شركة </v>
      </c>
      <c r="C75" s="16" t="str">
        <f t="shared" si="13"/>
        <v xml:space="preserve">التجمع الخامس </v>
      </c>
      <c r="D75" s="16" t="str">
        <f t="shared" si="14"/>
        <v>القاهرة</v>
      </c>
      <c r="E75" s="16" t="s">
        <v>25</v>
      </c>
      <c r="F75" s="16" t="s">
        <v>24</v>
      </c>
      <c r="G75" s="17" t="s">
        <v>69</v>
      </c>
      <c r="H75" s="16" t="s">
        <v>92</v>
      </c>
      <c r="I75" s="16" t="s">
        <v>241</v>
      </c>
      <c r="J75" s="16" t="s">
        <v>241</v>
      </c>
      <c r="K75" s="16" t="s">
        <v>241</v>
      </c>
      <c r="L75" s="16">
        <v>14950</v>
      </c>
      <c r="M75" s="16" t="s">
        <v>11</v>
      </c>
      <c r="N75" s="16" t="str">
        <f t="shared" si="16"/>
        <v>مسبق الدفع</v>
      </c>
      <c r="O75" s="18">
        <v>45561</v>
      </c>
      <c r="P75" s="18">
        <v>45579</v>
      </c>
      <c r="Q75" s="18">
        <v>45578</v>
      </c>
      <c r="R75" s="19">
        <f t="shared" si="15"/>
        <v>18</v>
      </c>
      <c r="S75" s="19">
        <f>IF(OR(ISBLANK(bb[[#This Row],[ميعاد الطلب]]),ISBLANK(bb[[#This Row],[تاريخ التسليم]])),0,bb[[#This Row],[تاريخ التسليم]]-bb[[#This Row],[ميعاد الطلب]])</f>
        <v>17</v>
      </c>
      <c r="T75" s="16" t="s">
        <v>215</v>
      </c>
      <c r="U75" s="16" t="s">
        <v>88</v>
      </c>
      <c r="AC75" s="5" t="s">
        <v>25</v>
      </c>
      <c r="AD75" s="5" t="s">
        <v>166</v>
      </c>
    </row>
    <row r="76" spans="1:30" ht="20" hidden="1">
      <c r="A76" s="16" t="s">
        <v>24</v>
      </c>
      <c r="B76" s="16" t="str">
        <f t="shared" si="12"/>
        <v xml:space="preserve">شركة </v>
      </c>
      <c r="C76" s="16" t="str">
        <f t="shared" si="13"/>
        <v>القاهرة</v>
      </c>
      <c r="D76" s="16" t="str">
        <f t="shared" si="14"/>
        <v>القاهرة</v>
      </c>
      <c r="E76" s="20" t="s">
        <v>166</v>
      </c>
      <c r="F76" s="16" t="s">
        <v>24</v>
      </c>
      <c r="G76" s="17" t="s">
        <v>58</v>
      </c>
      <c r="H76" s="16" t="s">
        <v>145</v>
      </c>
      <c r="I76" s="16" t="s">
        <v>62</v>
      </c>
      <c r="J76" s="16">
        <v>100</v>
      </c>
      <c r="K76" s="16" t="s">
        <v>158</v>
      </c>
      <c r="L76" s="16">
        <v>9208</v>
      </c>
      <c r="M76" s="16">
        <v>9608</v>
      </c>
      <c r="N76" s="16" t="str">
        <f t="shared" si="16"/>
        <v>كاش</v>
      </c>
      <c r="O76" s="18">
        <v>45561</v>
      </c>
      <c r="P76" s="18">
        <v>45579</v>
      </c>
      <c r="Q76" s="18"/>
      <c r="R76" s="19">
        <f t="shared" si="15"/>
        <v>18</v>
      </c>
      <c r="S76" s="19">
        <f>IF(OR(ISBLANK(bb[[#This Row],[ميعاد الطلب]]),ISBLANK(bb[[#This Row],[تاريخ التسليم]])),0,bb[[#This Row],[تاريخ التسليم]]-bb[[#This Row],[ميعاد الطلب]])</f>
        <v>0</v>
      </c>
      <c r="T76" s="16" t="s">
        <v>170</v>
      </c>
      <c r="U76" s="16" t="s">
        <v>150</v>
      </c>
      <c r="AC76" s="5" t="s">
        <v>96</v>
      </c>
      <c r="AD76" s="5" t="s">
        <v>96</v>
      </c>
    </row>
    <row r="77" spans="1:30" ht="20">
      <c r="A77" s="16" t="s">
        <v>24</v>
      </c>
      <c r="B77" s="16" t="str">
        <f t="shared" si="12"/>
        <v xml:space="preserve">شركة </v>
      </c>
      <c r="C77" s="16" t="str">
        <f t="shared" si="13"/>
        <v>القاهرة</v>
      </c>
      <c r="D77" s="16" t="str">
        <f t="shared" si="14"/>
        <v>القاهرة</v>
      </c>
      <c r="E77" s="20" t="s">
        <v>166</v>
      </c>
      <c r="F77" s="16" t="s">
        <v>24</v>
      </c>
      <c r="G77" s="17" t="s">
        <v>58</v>
      </c>
      <c r="H77" s="16" t="s">
        <v>61</v>
      </c>
      <c r="I77" s="16" t="s">
        <v>64</v>
      </c>
      <c r="J77" s="16">
        <v>120</v>
      </c>
      <c r="K77" s="16" t="s">
        <v>155</v>
      </c>
      <c r="L77" s="16">
        <v>7433</v>
      </c>
      <c r="M77" s="16" t="s">
        <v>11</v>
      </c>
      <c r="N77" s="16" t="str">
        <f t="shared" si="16"/>
        <v>مسبق الدفع</v>
      </c>
      <c r="O77" s="18">
        <v>45564</v>
      </c>
      <c r="P77" s="18">
        <v>45585</v>
      </c>
      <c r="Q77" s="18">
        <v>45586</v>
      </c>
      <c r="R77" s="19">
        <f t="shared" si="15"/>
        <v>21</v>
      </c>
      <c r="S77" s="19">
        <f>IF(OR(ISBLANK(bb[[#This Row],[ميعاد الطلب]]),ISBLANK(bb[[#This Row],[تاريخ التسليم]])),0,bb[[#This Row],[تاريخ التسليم]]-bb[[#This Row],[ميعاد الطلب]])</f>
        <v>22</v>
      </c>
      <c r="T77" s="16" t="s">
        <v>215</v>
      </c>
      <c r="U77" s="16" t="s">
        <v>88</v>
      </c>
      <c r="AC77" s="5" t="s">
        <v>96</v>
      </c>
      <c r="AD77" s="5" t="s">
        <v>96</v>
      </c>
    </row>
    <row r="78" spans="1:30" ht="20" hidden="1">
      <c r="A78" s="16" t="s">
        <v>36</v>
      </c>
      <c r="B78" s="16" t="str">
        <f t="shared" si="12"/>
        <v xml:space="preserve">شركة </v>
      </c>
      <c r="C78" s="16" t="str">
        <f t="shared" si="13"/>
        <v xml:space="preserve">المخزن ابو الغيط </v>
      </c>
      <c r="D78" s="16" t="str">
        <f t="shared" si="14"/>
        <v>القاهرة</v>
      </c>
      <c r="E78" s="16" t="s">
        <v>89</v>
      </c>
      <c r="F78" s="16" t="s">
        <v>26</v>
      </c>
      <c r="G78" s="17" t="s">
        <v>58</v>
      </c>
      <c r="H78" s="16" t="s">
        <v>61</v>
      </c>
      <c r="I78" s="16" t="s">
        <v>78</v>
      </c>
      <c r="J78" s="16">
        <v>120</v>
      </c>
      <c r="K78" s="16" t="s">
        <v>155</v>
      </c>
      <c r="L78" s="16">
        <v>4020</v>
      </c>
      <c r="M78" s="16" t="s">
        <v>38</v>
      </c>
      <c r="N78" s="16" t="str">
        <f t="shared" si="16"/>
        <v>حساب شركه</v>
      </c>
      <c r="O78" s="18">
        <v>45564</v>
      </c>
      <c r="P78" s="18">
        <v>45577</v>
      </c>
      <c r="Q78" s="18">
        <v>45577</v>
      </c>
      <c r="R78" s="19">
        <f t="shared" si="15"/>
        <v>13</v>
      </c>
      <c r="S78" s="19">
        <f>IF(OR(ISBLANK(bb[[#This Row],[ميعاد الطلب]]),ISBLANK(bb[[#This Row],[تاريخ التسليم]])),0,bb[[#This Row],[تاريخ التسليم]]-bb[[#This Row],[ميعاد الطلب]])</f>
        <v>13</v>
      </c>
      <c r="T78" s="16" t="s">
        <v>215</v>
      </c>
      <c r="U78" s="16" t="s">
        <v>88</v>
      </c>
      <c r="AC78" s="5" t="s">
        <v>89</v>
      </c>
      <c r="AD78" s="5" t="s">
        <v>89</v>
      </c>
    </row>
    <row r="79" spans="1:30" ht="20" hidden="1">
      <c r="A79" s="16" t="s">
        <v>94</v>
      </c>
      <c r="B79" s="16" t="str">
        <f t="shared" si="12"/>
        <v xml:space="preserve">فرد </v>
      </c>
      <c r="C79" s="16" t="str">
        <f t="shared" si="13"/>
        <v xml:space="preserve">السويس </v>
      </c>
      <c r="D79" s="16" t="str">
        <f t="shared" si="14"/>
        <v xml:space="preserve">السويس </v>
      </c>
      <c r="E79" s="16" t="s">
        <v>95</v>
      </c>
      <c r="F79" s="16" t="s">
        <v>96</v>
      </c>
      <c r="G79" s="17" t="s">
        <v>58</v>
      </c>
      <c r="H79" s="16" t="s">
        <v>145</v>
      </c>
      <c r="I79" s="16" t="s">
        <v>97</v>
      </c>
      <c r="J79" s="16">
        <v>100</v>
      </c>
      <c r="K79" s="16" t="s">
        <v>98</v>
      </c>
      <c r="L79" s="16">
        <v>8544.9054400000005</v>
      </c>
      <c r="M79" s="16" t="s">
        <v>241</v>
      </c>
      <c r="N79" s="16" t="str">
        <f t="shared" ref="N79:N82" si="17">IF(ISNUMBER(M79),"كاش", M79)</f>
        <v>غير معروف</v>
      </c>
      <c r="O79" s="18">
        <v>45566</v>
      </c>
      <c r="P79" s="18">
        <v>45574</v>
      </c>
      <c r="Q79" s="18">
        <v>45574</v>
      </c>
      <c r="R79" s="19">
        <f t="shared" si="15"/>
        <v>8</v>
      </c>
      <c r="S79" s="19">
        <f>IF(OR(ISBLANK(bb[[#This Row],[ميعاد الطلب]]),ISBLANK(bb[[#This Row],[تاريخ التسليم]])),0,bb[[#This Row],[تاريخ التسليم]]-bb[[#This Row],[ميعاد الطلب]])</f>
        <v>8</v>
      </c>
      <c r="T79" s="16" t="s">
        <v>212</v>
      </c>
      <c r="U79" s="16" t="s">
        <v>88</v>
      </c>
      <c r="AC79" s="5" t="s">
        <v>95</v>
      </c>
      <c r="AD79" s="5" t="s">
        <v>95</v>
      </c>
    </row>
    <row r="80" spans="1:30" ht="20" hidden="1">
      <c r="A80" s="16" t="s">
        <v>94</v>
      </c>
      <c r="B80" s="16" t="str">
        <f t="shared" si="12"/>
        <v xml:space="preserve">فرد </v>
      </c>
      <c r="C80" s="16" t="str">
        <f t="shared" si="13"/>
        <v xml:space="preserve">السويس </v>
      </c>
      <c r="D80" s="16" t="str">
        <f t="shared" si="14"/>
        <v xml:space="preserve">السويس </v>
      </c>
      <c r="E80" s="16" t="s">
        <v>95</v>
      </c>
      <c r="F80" s="16" t="s">
        <v>96</v>
      </c>
      <c r="G80" s="17" t="s">
        <v>58</v>
      </c>
      <c r="H80" s="16" t="s">
        <v>59</v>
      </c>
      <c r="I80" s="16" t="s">
        <v>241</v>
      </c>
      <c r="J80" s="16" t="s">
        <v>241</v>
      </c>
      <c r="K80" s="16" t="s">
        <v>156</v>
      </c>
      <c r="L80" s="16">
        <v>4600</v>
      </c>
      <c r="M80" s="16" t="s">
        <v>241</v>
      </c>
      <c r="N80" s="16" t="str">
        <f t="shared" si="17"/>
        <v>غير معروف</v>
      </c>
      <c r="O80" s="18">
        <v>45566</v>
      </c>
      <c r="P80" s="18">
        <v>45574</v>
      </c>
      <c r="Q80" s="18">
        <v>45574</v>
      </c>
      <c r="R80" s="19">
        <f t="shared" si="15"/>
        <v>8</v>
      </c>
      <c r="S80" s="19">
        <f>IF(OR(ISBLANK(bb[[#This Row],[ميعاد الطلب]]),ISBLANK(bb[[#This Row],[تاريخ التسليم]])),0,bb[[#This Row],[تاريخ التسليم]]-bb[[#This Row],[ميعاد الطلب]])</f>
        <v>8</v>
      </c>
      <c r="T80" s="16" t="s">
        <v>212</v>
      </c>
      <c r="U80" s="16" t="s">
        <v>88</v>
      </c>
      <c r="AC80" s="5" t="s">
        <v>95</v>
      </c>
      <c r="AD80" s="5" t="s">
        <v>95</v>
      </c>
    </row>
    <row r="81" spans="1:30" ht="20" hidden="1">
      <c r="A81" s="16" t="s">
        <v>94</v>
      </c>
      <c r="B81" s="16" t="str">
        <f t="shared" si="12"/>
        <v xml:space="preserve">فرد </v>
      </c>
      <c r="C81" s="16" t="str">
        <f t="shared" si="13"/>
        <v xml:space="preserve">السويس </v>
      </c>
      <c r="D81" s="16" t="str">
        <f t="shared" si="14"/>
        <v xml:space="preserve">السويس </v>
      </c>
      <c r="E81" s="16" t="s">
        <v>95</v>
      </c>
      <c r="F81" s="16" t="s">
        <v>96</v>
      </c>
      <c r="G81" s="17" t="s">
        <v>69</v>
      </c>
      <c r="H81" s="16" t="s">
        <v>99</v>
      </c>
      <c r="I81" s="16" t="s">
        <v>241</v>
      </c>
      <c r="J81" s="16" t="s">
        <v>241</v>
      </c>
      <c r="K81" s="16" t="s">
        <v>156</v>
      </c>
      <c r="L81" s="16">
        <v>10000</v>
      </c>
      <c r="M81" s="16" t="s">
        <v>241</v>
      </c>
      <c r="N81" s="16" t="str">
        <f t="shared" si="17"/>
        <v>غير معروف</v>
      </c>
      <c r="O81" s="18">
        <v>45566</v>
      </c>
      <c r="P81" s="18">
        <v>45574</v>
      </c>
      <c r="Q81" s="18">
        <v>45574</v>
      </c>
      <c r="R81" s="19">
        <f t="shared" si="15"/>
        <v>8</v>
      </c>
      <c r="S81" s="19">
        <f>IF(OR(ISBLANK(bb[[#This Row],[ميعاد الطلب]]),ISBLANK(bb[[#This Row],[تاريخ التسليم]])),0,bb[[#This Row],[تاريخ التسليم]]-bb[[#This Row],[ميعاد الطلب]])</f>
        <v>8</v>
      </c>
      <c r="T81" s="16" t="s">
        <v>212</v>
      </c>
      <c r="U81" s="16" t="s">
        <v>88</v>
      </c>
      <c r="AC81" s="5" t="s">
        <v>95</v>
      </c>
      <c r="AD81" s="5" t="s">
        <v>95</v>
      </c>
    </row>
    <row r="82" spans="1:30" ht="20" hidden="1">
      <c r="A82" s="16" t="s">
        <v>94</v>
      </c>
      <c r="B82" s="16" t="str">
        <f t="shared" si="12"/>
        <v xml:space="preserve">فرد </v>
      </c>
      <c r="C82" s="16" t="str">
        <f t="shared" si="13"/>
        <v xml:space="preserve">السويس </v>
      </c>
      <c r="D82" s="16" t="str">
        <f t="shared" si="14"/>
        <v xml:space="preserve">السويس </v>
      </c>
      <c r="E82" s="16" t="s">
        <v>95</v>
      </c>
      <c r="F82" s="16" t="s">
        <v>96</v>
      </c>
      <c r="G82" s="17" t="s">
        <v>100</v>
      </c>
      <c r="H82" s="16" t="s">
        <v>241</v>
      </c>
      <c r="I82" s="16" t="s">
        <v>241</v>
      </c>
      <c r="J82" s="16" t="s">
        <v>241</v>
      </c>
      <c r="K82" s="16" t="s">
        <v>156</v>
      </c>
      <c r="L82" s="16" t="s">
        <v>241</v>
      </c>
      <c r="M82" s="16" t="s">
        <v>241</v>
      </c>
      <c r="N82" s="16" t="str">
        <f t="shared" si="17"/>
        <v>غير معروف</v>
      </c>
      <c r="O82" s="18">
        <v>45566</v>
      </c>
      <c r="P82" s="18">
        <v>45574</v>
      </c>
      <c r="Q82" s="18">
        <v>45574</v>
      </c>
      <c r="R82" s="19">
        <f t="shared" si="15"/>
        <v>8</v>
      </c>
      <c r="S82" s="19">
        <f>IF(OR(ISBLANK(bb[[#This Row],[ميعاد الطلب]]),ISBLANK(bb[[#This Row],[تاريخ التسليم]])),0,bb[[#This Row],[تاريخ التسليم]]-bb[[#This Row],[ميعاد الطلب]])</f>
        <v>8</v>
      </c>
      <c r="T82" s="16" t="s">
        <v>212</v>
      </c>
      <c r="U82" s="16" t="s">
        <v>88</v>
      </c>
      <c r="AC82" s="5" t="s">
        <v>95</v>
      </c>
      <c r="AD82" s="5" t="s">
        <v>95</v>
      </c>
    </row>
    <row r="83" spans="1:30" ht="20" hidden="1">
      <c r="A83" s="16" t="s">
        <v>102</v>
      </c>
      <c r="B83" s="16" t="str">
        <f t="shared" si="12"/>
        <v xml:space="preserve">فرد </v>
      </c>
      <c r="C83" s="16" t="str">
        <f t="shared" si="13"/>
        <v>الزمالك</v>
      </c>
      <c r="D83" s="16" t="str">
        <f t="shared" si="14"/>
        <v>القاهرة</v>
      </c>
      <c r="E83" s="16" t="s">
        <v>103</v>
      </c>
      <c r="F83" s="16" t="s">
        <v>5</v>
      </c>
      <c r="G83" s="17" t="s">
        <v>58</v>
      </c>
      <c r="H83" s="16" t="s">
        <v>59</v>
      </c>
      <c r="I83" s="16"/>
      <c r="J83" s="16"/>
      <c r="K83" s="16" t="s">
        <v>156</v>
      </c>
      <c r="L83" s="16">
        <v>8899</v>
      </c>
      <c r="M83" s="16">
        <v>8988</v>
      </c>
      <c r="N83" s="16" t="str">
        <f>IF(ISNUMBER(M83),"كاش", M83)</f>
        <v>كاش</v>
      </c>
      <c r="O83" s="18">
        <v>45568</v>
      </c>
      <c r="P83" s="18">
        <v>45613</v>
      </c>
      <c r="Q83" s="18"/>
      <c r="R83" s="19">
        <f t="shared" si="15"/>
        <v>45</v>
      </c>
      <c r="S83" s="19">
        <f>IF(OR(ISBLANK(bb[[#This Row],[ميعاد الطلب]]),ISBLANK(bb[[#This Row],[تاريخ التسليم]])),0,bb[[#This Row],[تاريخ التسليم]]-bb[[#This Row],[ميعاد الطلب]])</f>
        <v>0</v>
      </c>
      <c r="T83" s="16" t="s">
        <v>170</v>
      </c>
      <c r="U83" s="16" t="s">
        <v>150</v>
      </c>
      <c r="AC83" s="5" t="s">
        <v>103</v>
      </c>
      <c r="AD83" s="5" t="s">
        <v>166</v>
      </c>
    </row>
    <row r="84" spans="1:30" ht="20">
      <c r="A84" s="16" t="s">
        <v>24</v>
      </c>
      <c r="B84" s="16" t="str">
        <f t="shared" si="12"/>
        <v xml:space="preserve">شركة </v>
      </c>
      <c r="C84" s="16" t="str">
        <f t="shared" si="13"/>
        <v>مخزن شيك هومز</v>
      </c>
      <c r="D84" s="16" t="str">
        <f t="shared" si="14"/>
        <v>مخزن شيك هومز</v>
      </c>
      <c r="E84" s="16" t="s">
        <v>104</v>
      </c>
      <c r="F84" s="16" t="s">
        <v>18</v>
      </c>
      <c r="G84" s="17" t="s">
        <v>69</v>
      </c>
      <c r="H84" s="16" t="s">
        <v>92</v>
      </c>
      <c r="I84" s="16" t="s">
        <v>241</v>
      </c>
      <c r="J84" s="16" t="s">
        <v>241</v>
      </c>
      <c r="K84" s="16" t="s">
        <v>156</v>
      </c>
      <c r="L84" s="16">
        <v>14550</v>
      </c>
      <c r="M84" s="16" t="s">
        <v>11</v>
      </c>
      <c r="N84" s="16" t="str">
        <f t="shared" ref="N84:N85" si="18">IF(ISNUMBER(M84),"كاش", M84)</f>
        <v>مسبق الدفع</v>
      </c>
      <c r="O84" s="18">
        <v>45573</v>
      </c>
      <c r="P84" s="18">
        <v>45594</v>
      </c>
      <c r="Q84" s="18">
        <v>45595</v>
      </c>
      <c r="R84" s="19">
        <f t="shared" si="15"/>
        <v>21</v>
      </c>
      <c r="S84" s="19">
        <f>IF(OR(ISBLANK(bb[[#This Row],[ميعاد الطلب]]),ISBLANK(bb[[#This Row],[تاريخ التسليم]])),0,bb[[#This Row],[تاريخ التسليم]]-bb[[#This Row],[ميعاد الطلب]])</f>
        <v>22</v>
      </c>
      <c r="T84" s="16" t="s">
        <v>215</v>
      </c>
      <c r="U84" s="16" t="s">
        <v>88</v>
      </c>
      <c r="AC84" s="5" t="s">
        <v>104</v>
      </c>
      <c r="AD84" s="5" t="s">
        <v>104</v>
      </c>
    </row>
    <row r="85" spans="1:30" ht="20">
      <c r="A85" s="16" t="s">
        <v>24</v>
      </c>
      <c r="B85" s="16" t="str">
        <f t="shared" si="12"/>
        <v xml:space="preserve">شركة </v>
      </c>
      <c r="C85" s="16" t="str">
        <f t="shared" si="13"/>
        <v xml:space="preserve">٦ اكتوبر الجيزه  </v>
      </c>
      <c r="D85" s="16" t="str">
        <f t="shared" si="14"/>
        <v>القاهرة</v>
      </c>
      <c r="E85" s="16" t="s">
        <v>159</v>
      </c>
      <c r="F85" s="16" t="s">
        <v>24</v>
      </c>
      <c r="G85" s="17" t="s">
        <v>69</v>
      </c>
      <c r="H85" s="16" t="s">
        <v>92</v>
      </c>
      <c r="I85" s="16" t="s">
        <v>241</v>
      </c>
      <c r="J85" s="16" t="s">
        <v>241</v>
      </c>
      <c r="K85" s="16" t="s">
        <v>156</v>
      </c>
      <c r="L85" s="16">
        <v>14550</v>
      </c>
      <c r="M85" s="16" t="s">
        <v>11</v>
      </c>
      <c r="N85" s="16" t="str">
        <f t="shared" si="18"/>
        <v>مسبق الدفع</v>
      </c>
      <c r="O85" s="18">
        <v>45572</v>
      </c>
      <c r="P85" s="18">
        <v>45594</v>
      </c>
      <c r="Q85" s="18">
        <v>45580</v>
      </c>
      <c r="R85" s="19">
        <f t="shared" si="15"/>
        <v>22</v>
      </c>
      <c r="S85" s="19">
        <f>IF(OR(ISBLANK(bb[[#This Row],[ميعاد الطلب]]),ISBLANK(bb[[#This Row],[تاريخ التسليم]])),0,bb[[#This Row],[تاريخ التسليم]]-bb[[#This Row],[ميعاد الطلب]])</f>
        <v>8</v>
      </c>
      <c r="T85" s="16" t="s">
        <v>215</v>
      </c>
      <c r="U85" s="16" t="s">
        <v>88</v>
      </c>
      <c r="AC85" s="5" t="s">
        <v>159</v>
      </c>
      <c r="AD85" s="5" t="s">
        <v>162</v>
      </c>
    </row>
    <row r="86" spans="1:30" ht="20" hidden="1">
      <c r="A86" s="16" t="s">
        <v>24</v>
      </c>
      <c r="B86" s="16" t="str">
        <f t="shared" si="12"/>
        <v xml:space="preserve">شركة </v>
      </c>
      <c r="C86" s="16" t="str">
        <f t="shared" si="13"/>
        <v>القاهرة</v>
      </c>
      <c r="D86" s="16" t="str">
        <f t="shared" si="14"/>
        <v>القاهرة</v>
      </c>
      <c r="E86" s="20" t="s">
        <v>166</v>
      </c>
      <c r="F86" s="16" t="s">
        <v>18</v>
      </c>
      <c r="G86" s="17" t="s">
        <v>69</v>
      </c>
      <c r="H86" s="16" t="s">
        <v>92</v>
      </c>
      <c r="I86" s="16" t="s">
        <v>241</v>
      </c>
      <c r="J86" s="16" t="s">
        <v>241</v>
      </c>
      <c r="K86" s="16" t="s">
        <v>156</v>
      </c>
      <c r="L86" s="16">
        <v>14550</v>
      </c>
      <c r="M86" s="16">
        <v>11495</v>
      </c>
      <c r="N86" s="16" t="str">
        <f>IF(ISNUMBER(M86),"كاش", M86)</f>
        <v>كاش</v>
      </c>
      <c r="O86" s="18">
        <v>45575</v>
      </c>
      <c r="P86" s="18">
        <v>45596</v>
      </c>
      <c r="Q86" s="18">
        <v>45598</v>
      </c>
      <c r="R86" s="19">
        <f t="shared" si="15"/>
        <v>21</v>
      </c>
      <c r="S86" s="19">
        <f>IF(OR(ISBLANK(bb[[#This Row],[ميعاد الطلب]]),ISBLANK(bb[[#This Row],[تاريخ التسليم]])),0,bb[[#This Row],[تاريخ التسليم]]-bb[[#This Row],[ميعاد الطلب]])</f>
        <v>23</v>
      </c>
      <c r="T86" s="16" t="s">
        <v>215</v>
      </c>
      <c r="U86" s="16" t="s">
        <v>88</v>
      </c>
      <c r="AC86" s="5" t="s">
        <v>162</v>
      </c>
      <c r="AD86" s="5" t="s">
        <v>162</v>
      </c>
    </row>
    <row r="87" spans="1:30" ht="20" hidden="1">
      <c r="A87" s="16" t="s">
        <v>105</v>
      </c>
      <c r="B87" s="16" t="str">
        <f t="shared" si="12"/>
        <v xml:space="preserve">فرد </v>
      </c>
      <c r="C87" s="16" t="str">
        <f t="shared" si="13"/>
        <v xml:space="preserve">القاهره الجديده </v>
      </c>
      <c r="D87" s="16" t="str">
        <f t="shared" si="14"/>
        <v>الجيزة</v>
      </c>
      <c r="E87" s="16" t="s">
        <v>41</v>
      </c>
      <c r="F87" s="16" t="s">
        <v>5</v>
      </c>
      <c r="G87" s="17" t="s">
        <v>58</v>
      </c>
      <c r="H87" s="16" t="s">
        <v>145</v>
      </c>
      <c r="I87" s="16" t="s">
        <v>106</v>
      </c>
      <c r="J87" s="16" t="s">
        <v>149</v>
      </c>
      <c r="K87" s="16" t="s">
        <v>107</v>
      </c>
      <c r="L87" s="16">
        <v>12899</v>
      </c>
      <c r="M87" s="16">
        <v>13028</v>
      </c>
      <c r="N87" s="16" t="str">
        <f>IF(ISNUMBER(M87),"كاش", M87)</f>
        <v>كاش</v>
      </c>
      <c r="O87" s="18">
        <v>45578</v>
      </c>
      <c r="P87" s="18">
        <v>45643</v>
      </c>
      <c r="Q87" s="18">
        <v>45598</v>
      </c>
      <c r="R87" s="19">
        <f t="shared" si="15"/>
        <v>65</v>
      </c>
      <c r="S87" s="19">
        <f>IF(OR(ISBLANK(bb[[#This Row],[ميعاد الطلب]]),ISBLANK(bb[[#This Row],[تاريخ التسليم]])),0,bb[[#This Row],[تاريخ التسليم]]-bb[[#This Row],[ميعاد الطلب]])</f>
        <v>20</v>
      </c>
      <c r="T87" s="16" t="s">
        <v>215</v>
      </c>
      <c r="U87" s="16" t="s">
        <v>88</v>
      </c>
      <c r="AC87" s="5" t="s">
        <v>41</v>
      </c>
      <c r="AD87" s="5" t="s">
        <v>166</v>
      </c>
    </row>
    <row r="88" spans="1:30" ht="20">
      <c r="A88" s="16" t="s">
        <v>108</v>
      </c>
      <c r="B88" s="16" t="str">
        <f t="shared" si="12"/>
        <v xml:space="preserve">فرد </v>
      </c>
      <c r="C88" s="16" t="str">
        <f t="shared" si="13"/>
        <v>مصر الجديده</v>
      </c>
      <c r="D88" s="16" t="str">
        <f t="shared" si="14"/>
        <v>الجيزة</v>
      </c>
      <c r="E88" s="16" t="s">
        <v>23</v>
      </c>
      <c r="F88" s="16" t="s">
        <v>5</v>
      </c>
      <c r="G88" s="17" t="s">
        <v>58</v>
      </c>
      <c r="H88" s="16" t="s">
        <v>145</v>
      </c>
      <c r="I88" s="16" t="s">
        <v>63</v>
      </c>
      <c r="J88" s="16">
        <v>80</v>
      </c>
      <c r="K88" s="16" t="s">
        <v>155</v>
      </c>
      <c r="L88" s="16">
        <v>10499</v>
      </c>
      <c r="M88" s="16" t="s">
        <v>11</v>
      </c>
      <c r="N88" s="16" t="str">
        <f t="shared" ref="N88:N90" si="19">IF(ISNUMBER(M88),"كاش", M88)</f>
        <v>مسبق الدفع</v>
      </c>
      <c r="O88" s="18">
        <v>45581</v>
      </c>
      <c r="P88" s="18">
        <v>45645</v>
      </c>
      <c r="Q88" s="18">
        <v>45586</v>
      </c>
      <c r="R88" s="19">
        <f t="shared" si="15"/>
        <v>64</v>
      </c>
      <c r="S88" s="19">
        <f>IF(OR(ISBLANK(bb[[#This Row],[ميعاد الطلب]]),ISBLANK(bb[[#This Row],[تاريخ التسليم]])),0,bb[[#This Row],[تاريخ التسليم]]-bb[[#This Row],[ميعاد الطلب]])</f>
        <v>5</v>
      </c>
      <c r="T88" s="16" t="s">
        <v>215</v>
      </c>
      <c r="U88" s="16" t="s">
        <v>88</v>
      </c>
      <c r="AC88" s="5" t="s">
        <v>23</v>
      </c>
      <c r="AD88" s="5" t="s">
        <v>166</v>
      </c>
    </row>
    <row r="89" spans="1:30" ht="20">
      <c r="A89" s="16" t="s">
        <v>109</v>
      </c>
      <c r="B89" s="16" t="str">
        <f t="shared" si="12"/>
        <v xml:space="preserve">فرد </v>
      </c>
      <c r="C89" s="16" t="str">
        <f t="shared" si="13"/>
        <v>البطاش اسكندريه</v>
      </c>
      <c r="D89" s="16" t="str">
        <f t="shared" si="14"/>
        <v>الإسكندرية</v>
      </c>
      <c r="E89" s="16" t="s">
        <v>110</v>
      </c>
      <c r="F89" s="16" t="s">
        <v>5</v>
      </c>
      <c r="G89" s="17" t="s">
        <v>58</v>
      </c>
      <c r="H89" s="16" t="s">
        <v>145</v>
      </c>
      <c r="I89" s="16" t="s">
        <v>60</v>
      </c>
      <c r="J89" s="16" t="s">
        <v>149</v>
      </c>
      <c r="K89" s="16" t="s">
        <v>107</v>
      </c>
      <c r="L89" s="16">
        <v>12899</v>
      </c>
      <c r="M89" s="16" t="s">
        <v>11</v>
      </c>
      <c r="N89" s="16" t="str">
        <f t="shared" si="19"/>
        <v>مسبق الدفع</v>
      </c>
      <c r="O89" s="18">
        <v>45582</v>
      </c>
      <c r="P89" s="18">
        <v>45648</v>
      </c>
      <c r="Q89" s="18">
        <v>45629</v>
      </c>
      <c r="R89" s="19">
        <f t="shared" si="15"/>
        <v>66</v>
      </c>
      <c r="S89" s="19">
        <f>IF(OR(ISBLANK(bb[[#This Row],[ميعاد الطلب]]),ISBLANK(bb[[#This Row],[تاريخ التسليم]])),0,bb[[#This Row],[تاريخ التسليم]]-bb[[#This Row],[ميعاد الطلب]])</f>
        <v>47</v>
      </c>
      <c r="T89" s="16" t="s">
        <v>213</v>
      </c>
      <c r="U89" s="16" t="s">
        <v>88</v>
      </c>
      <c r="AC89" s="5" t="s">
        <v>110</v>
      </c>
      <c r="AD89" s="5" t="s">
        <v>163</v>
      </c>
    </row>
    <row r="90" spans="1:30" ht="20">
      <c r="A90" s="16" t="s">
        <v>111</v>
      </c>
      <c r="B90" s="16" t="str">
        <f t="shared" si="12"/>
        <v xml:space="preserve">فرد </v>
      </c>
      <c r="C90" s="16" t="str">
        <f t="shared" si="13"/>
        <v>41 كومبوند جولدن جستس الدور 4 شقه 4</v>
      </c>
      <c r="D90" s="16" t="str">
        <f t="shared" si="14"/>
        <v>القاهرة</v>
      </c>
      <c r="E90" s="16" t="s">
        <v>112</v>
      </c>
      <c r="F90" s="16" t="s">
        <v>113</v>
      </c>
      <c r="G90" s="17" t="s">
        <v>58</v>
      </c>
      <c r="H90" s="16" t="s">
        <v>61</v>
      </c>
      <c r="I90" s="16" t="s">
        <v>114</v>
      </c>
      <c r="J90" s="16">
        <v>140</v>
      </c>
      <c r="K90" s="16" t="s">
        <v>101</v>
      </c>
      <c r="L90" s="16">
        <v>5135</v>
      </c>
      <c r="M90" s="16" t="s">
        <v>11</v>
      </c>
      <c r="N90" s="16" t="str">
        <f t="shared" si="19"/>
        <v>مسبق الدفع</v>
      </c>
      <c r="O90" s="18">
        <v>45585</v>
      </c>
      <c r="P90" s="18">
        <v>45613</v>
      </c>
      <c r="Q90" s="18">
        <v>45610</v>
      </c>
      <c r="R90" s="19">
        <f t="shared" si="15"/>
        <v>28</v>
      </c>
      <c r="S90" s="19">
        <f>IF(OR(ISBLANK(bb[[#This Row],[ميعاد الطلب]]),ISBLANK(bb[[#This Row],[تاريخ التسليم]])),0,bb[[#This Row],[تاريخ التسليم]]-bb[[#This Row],[ميعاد الطلب]])</f>
        <v>25</v>
      </c>
      <c r="T90" s="16" t="s">
        <v>215</v>
      </c>
      <c r="U90" s="16" t="s">
        <v>88</v>
      </c>
      <c r="AC90" s="5" t="s">
        <v>112</v>
      </c>
      <c r="AD90" s="5" t="s">
        <v>166</v>
      </c>
    </row>
    <row r="91" spans="1:30" ht="20" hidden="1">
      <c r="A91" s="16" t="s">
        <v>24</v>
      </c>
      <c r="B91" s="16" t="str">
        <f t="shared" si="12"/>
        <v xml:space="preserve">شركة </v>
      </c>
      <c r="C91" s="16" t="str">
        <f t="shared" si="13"/>
        <v xml:space="preserve">٦ اكتوبر الجيزه  </v>
      </c>
      <c r="D91" s="16" t="str">
        <f t="shared" si="14"/>
        <v>القاهرة</v>
      </c>
      <c r="E91" s="16" t="s">
        <v>159</v>
      </c>
      <c r="F91" s="16" t="s">
        <v>24</v>
      </c>
      <c r="G91" s="17" t="s">
        <v>58</v>
      </c>
      <c r="H91" s="16" t="s">
        <v>145</v>
      </c>
      <c r="I91" s="16" t="s">
        <v>115</v>
      </c>
      <c r="J91" s="16">
        <v>100</v>
      </c>
      <c r="K91" s="16" t="s">
        <v>116</v>
      </c>
      <c r="L91" s="16">
        <v>12777.5</v>
      </c>
      <c r="M91" s="16">
        <v>11277.5</v>
      </c>
      <c r="N91" s="16" t="str">
        <f t="shared" ref="N91:N100" si="20">IF(ISNUMBER(M91),"كاش", M91)</f>
        <v>كاش</v>
      </c>
      <c r="O91" s="18">
        <v>45587</v>
      </c>
      <c r="P91" s="18">
        <v>45608</v>
      </c>
      <c r="Q91" s="18">
        <v>45614</v>
      </c>
      <c r="R91" s="19">
        <f t="shared" si="15"/>
        <v>21</v>
      </c>
      <c r="S91" s="19">
        <f>IF(OR(ISBLANK(bb[[#This Row],[ميعاد الطلب]]),ISBLANK(bb[[#This Row],[تاريخ التسليم]])),0,bb[[#This Row],[تاريخ التسليم]]-bb[[#This Row],[ميعاد الطلب]])</f>
        <v>27</v>
      </c>
      <c r="T91" s="16" t="s">
        <v>215</v>
      </c>
      <c r="U91" s="16" t="s">
        <v>88</v>
      </c>
      <c r="AC91" s="5" t="s">
        <v>159</v>
      </c>
      <c r="AD91" s="5" t="s">
        <v>166</v>
      </c>
    </row>
    <row r="92" spans="1:30" ht="20" hidden="1">
      <c r="A92" s="16" t="s">
        <v>24</v>
      </c>
      <c r="B92" s="16" t="str">
        <f t="shared" si="12"/>
        <v xml:space="preserve">شركة </v>
      </c>
      <c r="C92" s="16" t="str">
        <f t="shared" si="13"/>
        <v xml:space="preserve">٦ اكتوبر الجيزه  </v>
      </c>
      <c r="D92" s="16" t="str">
        <f t="shared" si="14"/>
        <v>القاهرة</v>
      </c>
      <c r="E92" s="16" t="s">
        <v>159</v>
      </c>
      <c r="F92" s="16" t="s">
        <v>24</v>
      </c>
      <c r="G92" s="17" t="s">
        <v>58</v>
      </c>
      <c r="H92" s="16" t="s">
        <v>145</v>
      </c>
      <c r="I92" s="16" t="s">
        <v>115</v>
      </c>
      <c r="J92" s="16">
        <v>100</v>
      </c>
      <c r="K92" s="16" t="s">
        <v>116</v>
      </c>
      <c r="L92" s="16">
        <v>12777.5</v>
      </c>
      <c r="M92" s="16">
        <v>11277.5</v>
      </c>
      <c r="N92" s="16" t="str">
        <f t="shared" si="20"/>
        <v>كاش</v>
      </c>
      <c r="O92" s="18">
        <v>45587</v>
      </c>
      <c r="P92" s="18">
        <v>45608</v>
      </c>
      <c r="Q92" s="18">
        <v>45614</v>
      </c>
      <c r="R92" s="19">
        <f t="shared" si="15"/>
        <v>21</v>
      </c>
      <c r="S92" s="19">
        <f>IF(OR(ISBLANK(bb[[#This Row],[ميعاد الطلب]]),ISBLANK(bb[[#This Row],[تاريخ التسليم]])),0,bb[[#This Row],[تاريخ التسليم]]-bb[[#This Row],[ميعاد الطلب]])</f>
        <v>27</v>
      </c>
      <c r="T92" s="16" t="s">
        <v>215</v>
      </c>
      <c r="U92" s="16" t="s">
        <v>88</v>
      </c>
      <c r="AC92" s="5" t="s">
        <v>159</v>
      </c>
      <c r="AD92" s="5" t="s">
        <v>166</v>
      </c>
    </row>
    <row r="93" spans="1:30" ht="20" hidden="1">
      <c r="A93" s="16" t="s">
        <v>36</v>
      </c>
      <c r="B93" s="16" t="str">
        <f t="shared" si="12"/>
        <v xml:space="preserve">شركة </v>
      </c>
      <c r="C93" s="16" t="str">
        <f t="shared" si="13"/>
        <v xml:space="preserve">مدينه نصر </v>
      </c>
      <c r="D93" s="16" t="str">
        <f t="shared" si="14"/>
        <v>القاهرة</v>
      </c>
      <c r="E93" s="16" t="s">
        <v>28</v>
      </c>
      <c r="F93" s="16" t="s">
        <v>26</v>
      </c>
      <c r="G93" s="17" t="s">
        <v>58</v>
      </c>
      <c r="H93" s="16" t="s">
        <v>145</v>
      </c>
      <c r="I93" s="16" t="s">
        <v>115</v>
      </c>
      <c r="J93" s="16">
        <v>100</v>
      </c>
      <c r="K93" s="16" t="s">
        <v>116</v>
      </c>
      <c r="L93" s="16">
        <v>8544.91</v>
      </c>
      <c r="M93" s="16" t="s">
        <v>38</v>
      </c>
      <c r="N93" s="16" t="str">
        <f t="shared" si="20"/>
        <v>حساب شركه</v>
      </c>
      <c r="O93" s="18">
        <v>45587</v>
      </c>
      <c r="P93" s="18"/>
      <c r="Q93" s="18"/>
      <c r="R93" s="19">
        <f t="shared" si="15"/>
        <v>0</v>
      </c>
      <c r="S93" s="19">
        <f>IF(OR(ISBLANK(bb[[#This Row],[ميعاد الطلب]]),ISBLANK(bb[[#This Row],[تاريخ التسليم]])),0,bb[[#This Row],[تاريخ التسليم]]-bb[[#This Row],[ميعاد الطلب]])</f>
        <v>0</v>
      </c>
      <c r="T93" s="16" t="s">
        <v>170</v>
      </c>
      <c r="U93" s="16" t="s">
        <v>150</v>
      </c>
      <c r="AC93" s="5" t="s">
        <v>28</v>
      </c>
      <c r="AD93" s="5" t="s">
        <v>166</v>
      </c>
    </row>
    <row r="94" spans="1:30" ht="20" hidden="1">
      <c r="A94" s="16" t="s">
        <v>117</v>
      </c>
      <c r="B94" s="16" t="str">
        <f t="shared" si="12"/>
        <v xml:space="preserve">فرد </v>
      </c>
      <c r="C94" s="16" t="str">
        <f t="shared" si="13"/>
        <v xml:space="preserve">٦ اكتوبر الجيزه  </v>
      </c>
      <c r="D94" s="16" t="str">
        <f t="shared" si="14"/>
        <v>القاهرة</v>
      </c>
      <c r="E94" s="16" t="s">
        <v>159</v>
      </c>
      <c r="F94" s="16" t="s">
        <v>5</v>
      </c>
      <c r="G94" s="17" t="s">
        <v>58</v>
      </c>
      <c r="H94" s="16" t="s">
        <v>61</v>
      </c>
      <c r="I94" s="16" t="s">
        <v>78</v>
      </c>
      <c r="J94" s="16">
        <v>120</v>
      </c>
      <c r="K94" s="16" t="s">
        <v>155</v>
      </c>
      <c r="L94" s="16">
        <v>8943</v>
      </c>
      <c r="M94" s="16">
        <v>9007.01</v>
      </c>
      <c r="N94" s="16" t="str">
        <f t="shared" si="20"/>
        <v>كاش</v>
      </c>
      <c r="O94" s="18">
        <v>45586</v>
      </c>
      <c r="P94" s="18">
        <v>45610</v>
      </c>
      <c r="Q94" s="18">
        <v>45614</v>
      </c>
      <c r="R94" s="19">
        <f t="shared" si="15"/>
        <v>24</v>
      </c>
      <c r="S94" s="19">
        <f>IF(OR(ISBLANK(bb[[#This Row],[ميعاد الطلب]]),ISBLANK(bb[[#This Row],[تاريخ التسليم]])),0,bb[[#This Row],[تاريخ التسليم]]-bb[[#This Row],[ميعاد الطلب]])</f>
        <v>28</v>
      </c>
      <c r="T94" s="16" t="s">
        <v>215</v>
      </c>
      <c r="U94" s="16" t="s">
        <v>88</v>
      </c>
      <c r="AC94" s="5" t="s">
        <v>159</v>
      </c>
      <c r="AD94" s="5" t="s">
        <v>166</v>
      </c>
    </row>
    <row r="95" spans="1:30" ht="20">
      <c r="A95" s="16" t="s">
        <v>24</v>
      </c>
      <c r="B95" s="16" t="str">
        <f t="shared" si="12"/>
        <v xml:space="preserve">شركة </v>
      </c>
      <c r="C95" s="16" t="str">
        <f t="shared" si="13"/>
        <v>القاهرة</v>
      </c>
      <c r="D95" s="16" t="str">
        <f t="shared" si="14"/>
        <v>القاهرة</v>
      </c>
      <c r="E95" s="20" t="s">
        <v>166</v>
      </c>
      <c r="F95" s="16" t="s">
        <v>24</v>
      </c>
      <c r="G95" s="17" t="s">
        <v>69</v>
      </c>
      <c r="H95" s="16" t="s">
        <v>92</v>
      </c>
      <c r="I95" s="16" t="s">
        <v>241</v>
      </c>
      <c r="J95" s="16" t="s">
        <v>241</v>
      </c>
      <c r="K95" s="16" t="s">
        <v>156</v>
      </c>
      <c r="L95" s="16">
        <v>15516</v>
      </c>
      <c r="M95" s="16" t="s">
        <v>11</v>
      </c>
      <c r="N95" s="16" t="str">
        <f t="shared" si="20"/>
        <v>مسبق الدفع</v>
      </c>
      <c r="O95" s="18">
        <v>45589</v>
      </c>
      <c r="P95" s="18">
        <v>45610</v>
      </c>
      <c r="Q95" s="18">
        <v>45595</v>
      </c>
      <c r="R95" s="19">
        <f t="shared" si="15"/>
        <v>21</v>
      </c>
      <c r="S95" s="19">
        <f>IF(OR(ISBLANK(bb[[#This Row],[ميعاد الطلب]]),ISBLANK(bb[[#This Row],[تاريخ التسليم]])),0,bb[[#This Row],[تاريخ التسليم]]-bb[[#This Row],[ميعاد الطلب]])</f>
        <v>6</v>
      </c>
      <c r="T95" s="16" t="s">
        <v>215</v>
      </c>
      <c r="U95" s="16" t="s">
        <v>88</v>
      </c>
      <c r="AC95" s="5" t="s">
        <v>166</v>
      </c>
      <c r="AD95" s="5" t="s">
        <v>166</v>
      </c>
    </row>
    <row r="96" spans="1:30" ht="20" hidden="1">
      <c r="A96" s="16" t="s">
        <v>24</v>
      </c>
      <c r="B96" s="16" t="str">
        <f t="shared" si="12"/>
        <v xml:space="preserve">شركة </v>
      </c>
      <c r="C96" s="16" t="str">
        <f t="shared" si="13"/>
        <v xml:space="preserve">السويس </v>
      </c>
      <c r="D96" s="16" t="str">
        <f t="shared" si="14"/>
        <v xml:space="preserve">السويس </v>
      </c>
      <c r="E96" s="16" t="s">
        <v>95</v>
      </c>
      <c r="F96" s="16" t="s">
        <v>24</v>
      </c>
      <c r="G96" s="17" t="s">
        <v>58</v>
      </c>
      <c r="H96" s="16" t="s">
        <v>145</v>
      </c>
      <c r="I96" s="16" t="s">
        <v>62</v>
      </c>
      <c r="J96" s="16">
        <v>100</v>
      </c>
      <c r="K96" s="16" t="s">
        <v>156</v>
      </c>
      <c r="L96" s="16">
        <v>10045</v>
      </c>
      <c r="M96" s="16">
        <v>8879</v>
      </c>
      <c r="N96" s="16" t="str">
        <f t="shared" si="20"/>
        <v>كاش</v>
      </c>
      <c r="O96" s="18">
        <v>45591</v>
      </c>
      <c r="P96" s="18">
        <v>45612</v>
      </c>
      <c r="Q96" s="18"/>
      <c r="R96" s="19">
        <f t="shared" si="15"/>
        <v>21</v>
      </c>
      <c r="S96" s="19">
        <f>IF(OR(ISBLANK(bb[[#This Row],[ميعاد الطلب]]),ISBLANK(bb[[#This Row],[تاريخ التسليم]])),0,bb[[#This Row],[تاريخ التسليم]]-bb[[#This Row],[ميعاد الطلب]])</f>
        <v>0</v>
      </c>
      <c r="T96" s="16" t="s">
        <v>170</v>
      </c>
      <c r="U96" s="16" t="s">
        <v>150</v>
      </c>
      <c r="AC96" s="5" t="s">
        <v>168</v>
      </c>
      <c r="AD96" s="5" t="s">
        <v>168</v>
      </c>
    </row>
    <row r="97" spans="1:30" ht="20" hidden="1">
      <c r="A97" s="16" t="s">
        <v>50</v>
      </c>
      <c r="B97" s="16" t="str">
        <f t="shared" si="12"/>
        <v xml:space="preserve">فرد </v>
      </c>
      <c r="C97" s="16" t="str">
        <f t="shared" si="13"/>
        <v xml:space="preserve">الشيخ زايد ٦ اكتوبر </v>
      </c>
      <c r="D97" s="16" t="str">
        <f t="shared" si="14"/>
        <v>القاهرة</v>
      </c>
      <c r="E97" s="16" t="s">
        <v>48</v>
      </c>
      <c r="F97" s="16" t="s">
        <v>5</v>
      </c>
      <c r="G97" s="17" t="s">
        <v>58</v>
      </c>
      <c r="H97" s="16" t="s">
        <v>145</v>
      </c>
      <c r="I97" s="16" t="s">
        <v>62</v>
      </c>
      <c r="J97" s="16">
        <v>90</v>
      </c>
      <c r="K97" s="16" t="s">
        <v>156</v>
      </c>
      <c r="L97" s="16">
        <v>11649</v>
      </c>
      <c r="M97" s="16">
        <v>11749</v>
      </c>
      <c r="N97" s="16" t="str">
        <f t="shared" si="20"/>
        <v>كاش</v>
      </c>
      <c r="O97" s="18">
        <v>45591</v>
      </c>
      <c r="P97" s="18">
        <v>45606</v>
      </c>
      <c r="Q97" s="18">
        <v>45614</v>
      </c>
      <c r="R97" s="19">
        <f t="shared" si="15"/>
        <v>15</v>
      </c>
      <c r="S97" s="19">
        <f>IF(OR(ISBLANK(bb[[#This Row],[ميعاد الطلب]]),ISBLANK(bb[[#This Row],[تاريخ التسليم]])),0,bb[[#This Row],[تاريخ التسليم]]-bb[[#This Row],[ميعاد الطلب]])</f>
        <v>23</v>
      </c>
      <c r="T97" s="16" t="s">
        <v>215</v>
      </c>
      <c r="U97" s="16" t="s">
        <v>88</v>
      </c>
      <c r="AC97" s="5" t="s">
        <v>48</v>
      </c>
      <c r="AD97" s="5" t="s">
        <v>166</v>
      </c>
    </row>
    <row r="98" spans="1:30" ht="20" hidden="1">
      <c r="A98" s="16" t="s">
        <v>50</v>
      </c>
      <c r="B98" s="16" t="str">
        <f t="shared" ref="B98:B122" si="21">IF(OR(A98="تاكي",A98= "شيك هومز",A98= "اوسكار راتن" ), "شركة ","فرد ")</f>
        <v xml:space="preserve">فرد </v>
      </c>
      <c r="C98" s="16" t="str">
        <f t="shared" ref="C98:C122" si="22">VLOOKUP(E98,AC:AD,1,0)</f>
        <v xml:space="preserve">الشيخ زايد ٦ اكتوبر </v>
      </c>
      <c r="D98" s="16" t="str">
        <f t="shared" ref="D98:D122" si="23">VLOOKUP(E98,AC:AD,2,0)</f>
        <v>القاهرة</v>
      </c>
      <c r="E98" s="16" t="s">
        <v>48</v>
      </c>
      <c r="F98" s="16" t="s">
        <v>5</v>
      </c>
      <c r="G98" s="17" t="s">
        <v>58</v>
      </c>
      <c r="H98" s="16" t="s">
        <v>145</v>
      </c>
      <c r="I98" s="16" t="s">
        <v>62</v>
      </c>
      <c r="J98" s="16">
        <v>90</v>
      </c>
      <c r="K98" s="16" t="s">
        <v>156</v>
      </c>
      <c r="L98" s="16">
        <v>11649</v>
      </c>
      <c r="M98" s="16">
        <v>11749</v>
      </c>
      <c r="N98" s="16" t="str">
        <f t="shared" si="20"/>
        <v>كاش</v>
      </c>
      <c r="O98" s="18">
        <v>45591</v>
      </c>
      <c r="P98" s="18">
        <v>45606</v>
      </c>
      <c r="Q98" s="18">
        <v>45614</v>
      </c>
      <c r="R98" s="19">
        <f t="shared" si="15"/>
        <v>15</v>
      </c>
      <c r="S98" s="19">
        <f>IF(OR(ISBLANK(bb[[#This Row],[ميعاد الطلب]]),ISBLANK(bb[[#This Row],[تاريخ التسليم]])),0,bb[[#This Row],[تاريخ التسليم]]-bb[[#This Row],[ميعاد الطلب]])</f>
        <v>23</v>
      </c>
      <c r="T98" s="16" t="s">
        <v>215</v>
      </c>
      <c r="U98" s="16" t="s">
        <v>88</v>
      </c>
      <c r="AC98" s="5" t="s">
        <v>48</v>
      </c>
      <c r="AD98" s="5" t="s">
        <v>166</v>
      </c>
    </row>
    <row r="99" spans="1:30" ht="20" hidden="1">
      <c r="A99" s="16" t="s">
        <v>118</v>
      </c>
      <c r="B99" s="16" t="str">
        <f t="shared" si="21"/>
        <v xml:space="preserve">فرد </v>
      </c>
      <c r="C99" s="16" t="str">
        <f t="shared" si="22"/>
        <v>المعادى</v>
      </c>
      <c r="D99" s="16" t="str">
        <f t="shared" si="23"/>
        <v>الجيزة</v>
      </c>
      <c r="E99" s="16" t="s">
        <v>43</v>
      </c>
      <c r="F99" s="16" t="s">
        <v>5</v>
      </c>
      <c r="G99" s="17" t="s">
        <v>58</v>
      </c>
      <c r="H99" s="16" t="s">
        <v>61</v>
      </c>
      <c r="I99" s="16" t="s">
        <v>64</v>
      </c>
      <c r="J99" s="16">
        <v>100</v>
      </c>
      <c r="K99" s="16" t="s">
        <v>155</v>
      </c>
      <c r="L99" s="16">
        <v>5200</v>
      </c>
      <c r="M99" s="16">
        <v>4800</v>
      </c>
      <c r="N99" s="16" t="str">
        <f t="shared" si="20"/>
        <v>كاش</v>
      </c>
      <c r="O99" s="18">
        <v>45593</v>
      </c>
      <c r="P99" s="18">
        <v>45607</v>
      </c>
      <c r="Q99" s="18">
        <v>45617</v>
      </c>
      <c r="R99" s="19">
        <f t="shared" si="15"/>
        <v>14</v>
      </c>
      <c r="S99" s="19">
        <f>IF(OR(ISBLANK(bb[[#This Row],[ميعاد الطلب]]),ISBLANK(bb[[#This Row],[تاريخ التسليم]])),0,bb[[#This Row],[تاريخ التسليم]]-bb[[#This Row],[ميعاد الطلب]])</f>
        <v>24</v>
      </c>
      <c r="T99" s="16" t="s">
        <v>215</v>
      </c>
      <c r="U99" s="16" t="s">
        <v>88</v>
      </c>
      <c r="AC99" s="5" t="s">
        <v>43</v>
      </c>
      <c r="AD99" s="5" t="s">
        <v>166</v>
      </c>
    </row>
    <row r="100" spans="1:30" ht="20" hidden="1">
      <c r="A100" s="16" t="s">
        <v>118</v>
      </c>
      <c r="B100" s="16" t="str">
        <f t="shared" si="21"/>
        <v xml:space="preserve">فرد </v>
      </c>
      <c r="C100" s="16" t="str">
        <f t="shared" si="22"/>
        <v>المعادى</v>
      </c>
      <c r="D100" s="16" t="str">
        <f t="shared" si="23"/>
        <v>الجيزة</v>
      </c>
      <c r="E100" s="16" t="s">
        <v>43</v>
      </c>
      <c r="F100" s="16" t="s">
        <v>5</v>
      </c>
      <c r="G100" s="17" t="s">
        <v>58</v>
      </c>
      <c r="H100" s="16" t="s">
        <v>61</v>
      </c>
      <c r="I100" s="16" t="s">
        <v>64</v>
      </c>
      <c r="J100" s="16">
        <v>120</v>
      </c>
      <c r="K100" s="16" t="s">
        <v>155</v>
      </c>
      <c r="L100" s="16">
        <v>5300</v>
      </c>
      <c r="M100" s="16">
        <v>4800</v>
      </c>
      <c r="N100" s="16" t="str">
        <f t="shared" si="20"/>
        <v>كاش</v>
      </c>
      <c r="O100" s="18">
        <v>45593</v>
      </c>
      <c r="P100" s="18">
        <v>45607</v>
      </c>
      <c r="Q100" s="18">
        <v>45617</v>
      </c>
      <c r="R100" s="19">
        <f t="shared" si="15"/>
        <v>14</v>
      </c>
      <c r="S100" s="19">
        <f>IF(OR(ISBLANK(bb[[#This Row],[ميعاد الطلب]]),ISBLANK(bb[[#This Row],[تاريخ التسليم]])),0,bb[[#This Row],[تاريخ التسليم]]-bb[[#This Row],[ميعاد الطلب]])</f>
        <v>24</v>
      </c>
      <c r="T100" s="16" t="s">
        <v>215</v>
      </c>
      <c r="U100" s="16" t="s">
        <v>88</v>
      </c>
      <c r="AC100" s="5" t="s">
        <v>43</v>
      </c>
      <c r="AD100" s="5" t="s">
        <v>166</v>
      </c>
    </row>
    <row r="101" spans="1:30" ht="20">
      <c r="A101" s="16" t="s">
        <v>202</v>
      </c>
      <c r="B101" s="16" t="str">
        <f t="shared" si="21"/>
        <v xml:space="preserve">فرد </v>
      </c>
      <c r="C101" s="16" t="str">
        <f t="shared" si="22"/>
        <v>مدينتى</v>
      </c>
      <c r="D101" s="16" t="str">
        <f t="shared" si="23"/>
        <v>القاهرة</v>
      </c>
      <c r="E101" s="16" t="s">
        <v>121</v>
      </c>
      <c r="F101" s="16" t="s">
        <v>5</v>
      </c>
      <c r="G101" s="17" t="s">
        <v>58</v>
      </c>
      <c r="H101" s="16" t="s">
        <v>145</v>
      </c>
      <c r="I101" s="16" t="s">
        <v>63</v>
      </c>
      <c r="J101" s="16">
        <v>80</v>
      </c>
      <c r="K101" s="16" t="s">
        <v>155</v>
      </c>
      <c r="L101" s="16">
        <v>12099</v>
      </c>
      <c r="M101" s="16" t="s">
        <v>11</v>
      </c>
      <c r="N101" s="16" t="str">
        <f t="shared" ref="N101:N102" si="24">IF(ISNUMBER(M101),"كاش", M101)</f>
        <v>مسبق الدفع</v>
      </c>
      <c r="O101" s="18">
        <v>45607</v>
      </c>
      <c r="P101" s="18">
        <v>45622</v>
      </c>
      <c r="Q101" s="18">
        <v>45623</v>
      </c>
      <c r="R101" s="19">
        <f t="shared" si="15"/>
        <v>15</v>
      </c>
      <c r="S101" s="19">
        <f>IF(OR(ISBLANK(bb[[#This Row],[ميعاد الطلب]]),ISBLANK(bb[[#This Row],[تاريخ التسليم]])),0,bb[[#This Row],[تاريخ التسليم]]-bb[[#This Row],[ميعاد الطلب]])</f>
        <v>16</v>
      </c>
      <c r="T101" s="16" t="s">
        <v>215</v>
      </c>
      <c r="U101" s="16" t="s">
        <v>88</v>
      </c>
      <c r="AC101" s="5" t="s">
        <v>121</v>
      </c>
      <c r="AD101" s="5" t="s">
        <v>166</v>
      </c>
    </row>
    <row r="102" spans="1:30" ht="20">
      <c r="A102" s="16" t="s">
        <v>24</v>
      </c>
      <c r="B102" s="16" t="str">
        <f t="shared" si="21"/>
        <v xml:space="preserve">شركة </v>
      </c>
      <c r="C102" s="16" t="str">
        <f t="shared" si="22"/>
        <v>مخزن شيك هومز</v>
      </c>
      <c r="D102" s="16" t="str">
        <f t="shared" si="23"/>
        <v>مخزن شيك هومز</v>
      </c>
      <c r="E102" s="16" t="s">
        <v>104</v>
      </c>
      <c r="F102" s="16" t="s">
        <v>24</v>
      </c>
      <c r="G102" s="17" t="s">
        <v>69</v>
      </c>
      <c r="H102" s="16" t="s">
        <v>92</v>
      </c>
      <c r="I102" s="16" t="s">
        <v>119</v>
      </c>
      <c r="J102" s="16" t="s">
        <v>241</v>
      </c>
      <c r="K102" s="16" t="s">
        <v>156</v>
      </c>
      <c r="L102" s="16">
        <v>15872</v>
      </c>
      <c r="M102" s="16" t="s">
        <v>11</v>
      </c>
      <c r="N102" s="16" t="str">
        <f t="shared" si="24"/>
        <v>مسبق الدفع</v>
      </c>
      <c r="O102" s="18">
        <v>45604</v>
      </c>
      <c r="P102" s="18">
        <v>45629</v>
      </c>
      <c r="Q102" s="18">
        <v>45610</v>
      </c>
      <c r="R102" s="19">
        <f t="shared" si="15"/>
        <v>25</v>
      </c>
      <c r="S102" s="19">
        <f>IF(OR(ISBLANK(bb[[#This Row],[ميعاد الطلب]]),ISBLANK(bb[[#This Row],[تاريخ التسليم]])),0,bb[[#This Row],[تاريخ التسليم]]-bb[[#This Row],[ميعاد الطلب]])</f>
        <v>6</v>
      </c>
      <c r="T102" s="16" t="s">
        <v>215</v>
      </c>
      <c r="U102" s="16" t="s">
        <v>88</v>
      </c>
      <c r="AC102" s="5" t="s">
        <v>104</v>
      </c>
      <c r="AD102" s="5" t="s">
        <v>104</v>
      </c>
    </row>
    <row r="103" spans="1:30" ht="20" hidden="1">
      <c r="A103" s="16" t="s">
        <v>120</v>
      </c>
      <c r="B103" s="16" t="str">
        <f t="shared" si="21"/>
        <v xml:space="preserve">فرد </v>
      </c>
      <c r="C103" s="16" t="str">
        <f t="shared" si="22"/>
        <v>التجمع الخامس</v>
      </c>
      <c r="D103" s="16" t="str">
        <f t="shared" si="23"/>
        <v>الجيزة</v>
      </c>
      <c r="E103" s="16" t="s">
        <v>19</v>
      </c>
      <c r="F103" s="16" t="s">
        <v>120</v>
      </c>
      <c r="G103" s="17" t="s">
        <v>58</v>
      </c>
      <c r="H103" s="16" t="s">
        <v>61</v>
      </c>
      <c r="I103" s="16" t="s">
        <v>78</v>
      </c>
      <c r="J103" s="16">
        <v>120</v>
      </c>
      <c r="K103" s="16" t="s">
        <v>155</v>
      </c>
      <c r="L103" s="16">
        <v>4520</v>
      </c>
      <c r="M103" s="16" t="s">
        <v>38</v>
      </c>
      <c r="N103" s="16" t="str">
        <f>IF(ISNUMBER(M103),"كاش", M103)</f>
        <v>حساب شركه</v>
      </c>
      <c r="O103" s="18">
        <v>45606</v>
      </c>
      <c r="P103" s="18">
        <v>45618</v>
      </c>
      <c r="Q103" s="18">
        <v>45617</v>
      </c>
      <c r="R103" s="19">
        <f t="shared" si="15"/>
        <v>12</v>
      </c>
      <c r="S103" s="19">
        <f>IF(OR(ISBLANK(bb[[#This Row],[ميعاد الطلب]]),ISBLANK(bb[[#This Row],[تاريخ التسليم]])),0,bb[[#This Row],[تاريخ التسليم]]-bb[[#This Row],[ميعاد الطلب]])</f>
        <v>11</v>
      </c>
      <c r="T103" s="16" t="s">
        <v>215</v>
      </c>
      <c r="U103" s="16" t="s">
        <v>88</v>
      </c>
      <c r="AC103" s="5" t="s">
        <v>19</v>
      </c>
      <c r="AD103" s="5" t="s">
        <v>166</v>
      </c>
    </row>
    <row r="104" spans="1:30" ht="20" hidden="1">
      <c r="A104" s="16" t="s">
        <v>36</v>
      </c>
      <c r="B104" s="16" t="str">
        <f t="shared" si="21"/>
        <v xml:space="preserve">شركة </v>
      </c>
      <c r="C104" s="16" t="str">
        <f t="shared" si="22"/>
        <v xml:space="preserve">المخزن ابو الغيط </v>
      </c>
      <c r="D104" s="16" t="str">
        <f t="shared" si="23"/>
        <v>القاهرة</v>
      </c>
      <c r="E104" s="16" t="s">
        <v>89</v>
      </c>
      <c r="F104" s="16" t="s">
        <v>26</v>
      </c>
      <c r="G104" s="17" t="s">
        <v>58</v>
      </c>
      <c r="H104" s="16" t="s">
        <v>145</v>
      </c>
      <c r="I104" s="16" t="s">
        <v>62</v>
      </c>
      <c r="J104" s="16">
        <v>90</v>
      </c>
      <c r="K104" s="16" t="s">
        <v>156</v>
      </c>
      <c r="L104" s="16">
        <v>5766</v>
      </c>
      <c r="M104" s="16" t="s">
        <v>38</v>
      </c>
      <c r="N104" s="16" t="str">
        <f>IF(ISNUMBER(M104),"كاش", M104)</f>
        <v>حساب شركه</v>
      </c>
      <c r="O104" s="18">
        <v>45608</v>
      </c>
      <c r="P104" s="18">
        <v>45622</v>
      </c>
      <c r="Q104" s="18">
        <v>45621</v>
      </c>
      <c r="R104" s="19">
        <f t="shared" si="15"/>
        <v>14</v>
      </c>
      <c r="S104" s="19">
        <f>IF(OR(ISBLANK(bb[[#This Row],[ميعاد الطلب]]),ISBLANK(bb[[#This Row],[تاريخ التسليم]])),0,bb[[#This Row],[تاريخ التسليم]]-bb[[#This Row],[ميعاد الطلب]])</f>
        <v>13</v>
      </c>
      <c r="T104" s="16" t="s">
        <v>215</v>
      </c>
      <c r="U104" s="16" t="s">
        <v>88</v>
      </c>
      <c r="AC104" s="5" t="s">
        <v>89</v>
      </c>
      <c r="AD104" s="5" t="s">
        <v>166</v>
      </c>
    </row>
    <row r="105" spans="1:30" ht="20">
      <c r="A105" s="16" t="s">
        <v>122</v>
      </c>
      <c r="B105" s="16" t="str">
        <f t="shared" si="21"/>
        <v xml:space="preserve">فرد </v>
      </c>
      <c r="C105" s="16" t="str">
        <f t="shared" si="22"/>
        <v>المعادى</v>
      </c>
      <c r="D105" s="16" t="str">
        <f t="shared" si="23"/>
        <v>الجيزة</v>
      </c>
      <c r="E105" s="16" t="s">
        <v>43</v>
      </c>
      <c r="F105" s="16" t="s">
        <v>5</v>
      </c>
      <c r="G105" s="17" t="s">
        <v>58</v>
      </c>
      <c r="H105" s="16" t="s">
        <v>61</v>
      </c>
      <c r="I105" s="16" t="s">
        <v>78</v>
      </c>
      <c r="J105" s="16">
        <v>160</v>
      </c>
      <c r="K105" s="16" t="s">
        <v>74</v>
      </c>
      <c r="L105" s="16">
        <v>11395</v>
      </c>
      <c r="M105" s="16" t="s">
        <v>11</v>
      </c>
      <c r="N105" s="16" t="str">
        <f t="shared" ref="N105:N106" si="25">IF(ISNUMBER(M105),"كاش", M105)</f>
        <v>مسبق الدفع</v>
      </c>
      <c r="O105" s="18">
        <v>45608</v>
      </c>
      <c r="P105" s="18">
        <v>45620</v>
      </c>
      <c r="Q105" s="18">
        <v>45623</v>
      </c>
      <c r="R105" s="19">
        <f t="shared" si="15"/>
        <v>12</v>
      </c>
      <c r="S105" s="19">
        <f>IF(OR(ISBLANK(bb[[#This Row],[ميعاد الطلب]]),ISBLANK(bb[[#This Row],[تاريخ التسليم]])),0,bb[[#This Row],[تاريخ التسليم]]-bb[[#This Row],[ميعاد الطلب]])</f>
        <v>15</v>
      </c>
      <c r="T105" s="16" t="s">
        <v>215</v>
      </c>
      <c r="U105" s="16" t="s">
        <v>88</v>
      </c>
      <c r="AC105" s="5" t="s">
        <v>43</v>
      </c>
      <c r="AD105" s="5" t="s">
        <v>166</v>
      </c>
    </row>
    <row r="106" spans="1:30" ht="20">
      <c r="A106" s="16" t="s">
        <v>123</v>
      </c>
      <c r="B106" s="16" t="str">
        <f t="shared" si="21"/>
        <v xml:space="preserve">فرد </v>
      </c>
      <c r="C106" s="16" t="str">
        <f t="shared" si="22"/>
        <v>التجمع الخامس</v>
      </c>
      <c r="D106" s="16" t="str">
        <f t="shared" si="23"/>
        <v>الجيزة</v>
      </c>
      <c r="E106" s="16" t="s">
        <v>19</v>
      </c>
      <c r="F106" s="16" t="s">
        <v>5</v>
      </c>
      <c r="G106" s="17" t="s">
        <v>58</v>
      </c>
      <c r="H106" s="16" t="s">
        <v>145</v>
      </c>
      <c r="I106" s="16" t="s">
        <v>124</v>
      </c>
      <c r="J106" s="16">
        <v>80</v>
      </c>
      <c r="K106" s="16" t="s">
        <v>155</v>
      </c>
      <c r="L106" s="16">
        <v>12919</v>
      </c>
      <c r="M106" s="16" t="s">
        <v>11</v>
      </c>
      <c r="N106" s="16" t="str">
        <f t="shared" si="25"/>
        <v>مسبق الدفع</v>
      </c>
      <c r="O106" s="18">
        <v>45610</v>
      </c>
      <c r="P106" s="18">
        <v>45626</v>
      </c>
      <c r="Q106" s="18">
        <v>45623</v>
      </c>
      <c r="R106" s="19">
        <f t="shared" si="15"/>
        <v>16</v>
      </c>
      <c r="S106" s="19">
        <f>IF(OR(ISBLANK(bb[[#This Row],[ميعاد الطلب]]),ISBLANK(bb[[#This Row],[تاريخ التسليم]])),0,bb[[#This Row],[تاريخ التسليم]]-bb[[#This Row],[ميعاد الطلب]])</f>
        <v>13</v>
      </c>
      <c r="T106" s="16" t="s">
        <v>215</v>
      </c>
      <c r="U106" s="16" t="s">
        <v>88</v>
      </c>
      <c r="AC106" s="5" t="s">
        <v>19</v>
      </c>
      <c r="AD106" s="5" t="s">
        <v>166</v>
      </c>
    </row>
    <row r="107" spans="1:30" ht="20" hidden="1">
      <c r="A107" s="16" t="s">
        <v>36</v>
      </c>
      <c r="B107" s="16" t="str">
        <f t="shared" si="21"/>
        <v xml:space="preserve">شركة </v>
      </c>
      <c r="C107" s="16" t="str">
        <f t="shared" si="22"/>
        <v xml:space="preserve">المخزن ابو الغيط </v>
      </c>
      <c r="D107" s="16" t="str">
        <f t="shared" si="23"/>
        <v>القاهرة</v>
      </c>
      <c r="E107" s="16" t="s">
        <v>89</v>
      </c>
      <c r="F107" s="16" t="s">
        <v>26</v>
      </c>
      <c r="G107" s="17" t="s">
        <v>125</v>
      </c>
      <c r="H107" s="16" t="s">
        <v>145</v>
      </c>
      <c r="I107" s="16" t="s">
        <v>60</v>
      </c>
      <c r="J107" s="16">
        <v>120</v>
      </c>
      <c r="K107" s="16" t="s">
        <v>73</v>
      </c>
      <c r="L107" s="16">
        <v>6376</v>
      </c>
      <c r="M107" s="16" t="s">
        <v>38</v>
      </c>
      <c r="N107" s="16" t="str">
        <f t="shared" ref="N107:N122" si="26">IF(ISNUMBER(M107),"كاش", M107)</f>
        <v>حساب شركه</v>
      </c>
      <c r="O107" s="18">
        <v>45610</v>
      </c>
      <c r="P107" s="18">
        <v>45623</v>
      </c>
      <c r="Q107" s="18">
        <v>45621</v>
      </c>
      <c r="R107" s="19">
        <f t="shared" si="15"/>
        <v>13</v>
      </c>
      <c r="S107" s="19">
        <f>IF(OR(ISBLANK(bb[[#This Row],[ميعاد الطلب]]),ISBLANK(bb[[#This Row],[تاريخ التسليم]])),0,bb[[#This Row],[تاريخ التسليم]]-bb[[#This Row],[ميعاد الطلب]])</f>
        <v>11</v>
      </c>
      <c r="T107" s="16" t="s">
        <v>215</v>
      </c>
      <c r="U107" s="16" t="s">
        <v>88</v>
      </c>
      <c r="AC107" s="5" t="s">
        <v>89</v>
      </c>
      <c r="AD107" s="5" t="s">
        <v>89</v>
      </c>
    </row>
    <row r="108" spans="1:30" ht="20" hidden="1">
      <c r="A108" s="16" t="s">
        <v>36</v>
      </c>
      <c r="B108" s="16" t="str">
        <f t="shared" si="21"/>
        <v xml:space="preserve">شركة </v>
      </c>
      <c r="C108" s="16" t="str">
        <f t="shared" si="22"/>
        <v xml:space="preserve">المخزن ابو الغيط </v>
      </c>
      <c r="D108" s="16" t="str">
        <f t="shared" si="23"/>
        <v>القاهرة</v>
      </c>
      <c r="E108" s="16" t="s">
        <v>89</v>
      </c>
      <c r="F108" s="16" t="s">
        <v>26</v>
      </c>
      <c r="G108" s="17" t="s">
        <v>58</v>
      </c>
      <c r="H108" s="16" t="s">
        <v>139</v>
      </c>
      <c r="I108" s="16" t="s">
        <v>60</v>
      </c>
      <c r="J108" s="16">
        <v>90</v>
      </c>
      <c r="K108" s="16" t="s">
        <v>156</v>
      </c>
      <c r="L108" s="16">
        <v>5294</v>
      </c>
      <c r="M108" s="16" t="s">
        <v>38</v>
      </c>
      <c r="N108" s="16" t="str">
        <f t="shared" si="26"/>
        <v>حساب شركه</v>
      </c>
      <c r="O108" s="18">
        <v>45610</v>
      </c>
      <c r="P108" s="18">
        <v>45623</v>
      </c>
      <c r="Q108" s="18">
        <v>45621</v>
      </c>
      <c r="R108" s="19">
        <f t="shared" si="15"/>
        <v>13</v>
      </c>
      <c r="S108" s="19">
        <f>IF(OR(ISBLANK(bb[[#This Row],[ميعاد الطلب]]),ISBLANK(bb[[#This Row],[تاريخ التسليم]])),0,bb[[#This Row],[تاريخ التسليم]]-bb[[#This Row],[ميعاد الطلب]])</f>
        <v>11</v>
      </c>
      <c r="T108" s="16" t="s">
        <v>215</v>
      </c>
      <c r="U108" s="16" t="s">
        <v>88</v>
      </c>
      <c r="AC108" s="5" t="s">
        <v>89</v>
      </c>
      <c r="AD108" s="5" t="s">
        <v>89</v>
      </c>
    </row>
    <row r="109" spans="1:30" ht="20">
      <c r="A109" s="16" t="s">
        <v>203</v>
      </c>
      <c r="B109" s="16" t="str">
        <f t="shared" si="21"/>
        <v xml:space="preserve">فرد </v>
      </c>
      <c r="C109" s="16" t="str">
        <f t="shared" si="22"/>
        <v xml:space="preserve">٦ اكتوبر الجيزه  </v>
      </c>
      <c r="D109" s="16" t="str">
        <f t="shared" si="23"/>
        <v>القاهرة</v>
      </c>
      <c r="E109" s="16" t="s">
        <v>159</v>
      </c>
      <c r="F109" s="16" t="s">
        <v>126</v>
      </c>
      <c r="G109" s="17" t="s">
        <v>125</v>
      </c>
      <c r="H109" s="16" t="s">
        <v>139</v>
      </c>
      <c r="I109" s="16" t="s">
        <v>127</v>
      </c>
      <c r="J109" s="16">
        <v>80</v>
      </c>
      <c r="K109" s="16" t="s">
        <v>155</v>
      </c>
      <c r="L109" s="16">
        <v>7396</v>
      </c>
      <c r="M109" s="16" t="s">
        <v>11</v>
      </c>
      <c r="N109" s="16" t="str">
        <f t="shared" si="26"/>
        <v>مسبق الدفع</v>
      </c>
      <c r="O109" s="18">
        <v>45613</v>
      </c>
      <c r="P109" s="18">
        <v>45624</v>
      </c>
      <c r="Q109" s="18">
        <v>45622</v>
      </c>
      <c r="R109" s="19">
        <f t="shared" si="15"/>
        <v>11</v>
      </c>
      <c r="S109" s="19">
        <f>IF(OR(ISBLANK(bb[[#This Row],[ميعاد الطلب]]),ISBLANK(bb[[#This Row],[تاريخ التسليم]])),0,bb[[#This Row],[تاريخ التسليم]]-bb[[#This Row],[ميعاد الطلب]])</f>
        <v>9</v>
      </c>
      <c r="T109" s="16" t="s">
        <v>215</v>
      </c>
      <c r="U109" s="16" t="s">
        <v>88</v>
      </c>
      <c r="AC109" s="5" t="s">
        <v>159</v>
      </c>
      <c r="AD109" s="5" t="s">
        <v>166</v>
      </c>
    </row>
    <row r="110" spans="1:30" ht="20" hidden="1">
      <c r="A110" s="16" t="s">
        <v>50</v>
      </c>
      <c r="B110" s="16" t="str">
        <f t="shared" si="21"/>
        <v xml:space="preserve">فرد </v>
      </c>
      <c r="C110" s="16" t="str">
        <f t="shared" si="22"/>
        <v xml:space="preserve">٦ اكتوبر الجيزه  </v>
      </c>
      <c r="D110" s="16" t="str">
        <f t="shared" si="23"/>
        <v>القاهرة</v>
      </c>
      <c r="E110" s="16" t="s">
        <v>159</v>
      </c>
      <c r="F110" s="16" t="s">
        <v>5</v>
      </c>
      <c r="G110" s="17" t="s">
        <v>58</v>
      </c>
      <c r="H110" s="16" t="s">
        <v>145</v>
      </c>
      <c r="I110" s="16" t="s">
        <v>62</v>
      </c>
      <c r="J110" s="16">
        <v>90</v>
      </c>
      <c r="K110" s="16" t="s">
        <v>156</v>
      </c>
      <c r="L110" s="16">
        <v>13439</v>
      </c>
      <c r="M110" s="16">
        <v>13575</v>
      </c>
      <c r="N110" s="16" t="str">
        <f t="shared" si="26"/>
        <v>كاش</v>
      </c>
      <c r="O110" s="18">
        <v>45616</v>
      </c>
      <c r="P110" s="18">
        <v>45631</v>
      </c>
      <c r="Q110" s="18">
        <v>45622</v>
      </c>
      <c r="R110" s="19">
        <f t="shared" si="15"/>
        <v>15</v>
      </c>
      <c r="S110" s="19">
        <f>IF(OR(ISBLANK(bb[[#This Row],[ميعاد الطلب]]),ISBLANK(bb[[#This Row],[تاريخ التسليم]])),0,bb[[#This Row],[تاريخ التسليم]]-bb[[#This Row],[ميعاد الطلب]])</f>
        <v>6</v>
      </c>
      <c r="T110" s="16" t="s">
        <v>215</v>
      </c>
      <c r="U110" s="16" t="s">
        <v>88</v>
      </c>
      <c r="AC110" s="5" t="s">
        <v>159</v>
      </c>
      <c r="AD110" s="5" t="s">
        <v>166</v>
      </c>
    </row>
    <row r="111" spans="1:30" ht="20" hidden="1">
      <c r="A111" s="16" t="s">
        <v>129</v>
      </c>
      <c r="B111" s="16" t="str">
        <f t="shared" si="21"/>
        <v xml:space="preserve">فرد </v>
      </c>
      <c r="C111" s="16" t="str">
        <f t="shared" si="22"/>
        <v>مصر الجديده</v>
      </c>
      <c r="D111" s="16" t="str">
        <f t="shared" si="23"/>
        <v>الجيزة</v>
      </c>
      <c r="E111" s="16" t="s">
        <v>23</v>
      </c>
      <c r="F111" s="16" t="s">
        <v>20</v>
      </c>
      <c r="G111" s="17" t="s">
        <v>125</v>
      </c>
      <c r="H111" s="16" t="s">
        <v>61</v>
      </c>
      <c r="I111" s="16" t="s">
        <v>130</v>
      </c>
      <c r="J111" s="16">
        <v>160</v>
      </c>
      <c r="K111" s="16" t="s">
        <v>77</v>
      </c>
      <c r="L111" s="16">
        <v>6000</v>
      </c>
      <c r="M111" s="16">
        <v>5800</v>
      </c>
      <c r="N111" s="16" t="str">
        <f t="shared" si="26"/>
        <v>كاش</v>
      </c>
      <c r="O111" s="18">
        <v>45618</v>
      </c>
      <c r="P111" s="18">
        <v>45628</v>
      </c>
      <c r="Q111" s="18">
        <v>45623</v>
      </c>
      <c r="R111" s="19">
        <f t="shared" si="15"/>
        <v>10</v>
      </c>
      <c r="S111" s="19">
        <f>IF(OR(ISBLANK(bb[[#This Row],[ميعاد الطلب]]),ISBLANK(bb[[#This Row],[تاريخ التسليم]])),0,bb[[#This Row],[تاريخ التسليم]]-bb[[#This Row],[ميعاد الطلب]])</f>
        <v>5</v>
      </c>
      <c r="T111" s="16" t="s">
        <v>215</v>
      </c>
      <c r="U111" s="16" t="s">
        <v>88</v>
      </c>
      <c r="AC111" s="5" t="s">
        <v>23</v>
      </c>
      <c r="AD111" s="5" t="s">
        <v>166</v>
      </c>
    </row>
    <row r="112" spans="1:30" ht="20" hidden="1">
      <c r="A112" s="16" t="s">
        <v>204</v>
      </c>
      <c r="B112" s="16" t="str">
        <f t="shared" si="21"/>
        <v xml:space="preserve">فرد </v>
      </c>
      <c r="C112" s="16" t="str">
        <f t="shared" si="22"/>
        <v xml:space="preserve">شبرا </v>
      </c>
      <c r="D112" s="16" t="str">
        <f t="shared" si="23"/>
        <v>القاهرة</v>
      </c>
      <c r="E112" s="16" t="s">
        <v>131</v>
      </c>
      <c r="F112" s="16" t="s">
        <v>5</v>
      </c>
      <c r="G112" s="17" t="s">
        <v>58</v>
      </c>
      <c r="H112" s="16" t="s">
        <v>128</v>
      </c>
      <c r="I112" s="16" t="s">
        <v>132</v>
      </c>
      <c r="J112" s="16">
        <v>120</v>
      </c>
      <c r="K112" s="16" t="s">
        <v>73</v>
      </c>
      <c r="L112" s="16">
        <v>10885</v>
      </c>
      <c r="M112" s="16">
        <v>7965</v>
      </c>
      <c r="N112" s="16" t="str">
        <f t="shared" si="26"/>
        <v>كاش</v>
      </c>
      <c r="O112" s="18">
        <v>45620</v>
      </c>
      <c r="P112" s="18">
        <v>45631</v>
      </c>
      <c r="Q112" s="18">
        <v>45636</v>
      </c>
      <c r="R112" s="19">
        <f t="shared" si="15"/>
        <v>11</v>
      </c>
      <c r="S112" s="19">
        <f>IF(OR(ISBLANK(bb[[#This Row],[ميعاد الطلب]]),ISBLANK(bb[[#This Row],[تاريخ التسليم]])),0,bb[[#This Row],[تاريخ التسليم]]-bb[[#This Row],[ميعاد الطلب]])</f>
        <v>16</v>
      </c>
      <c r="T112" s="16" t="s">
        <v>215</v>
      </c>
      <c r="U112" s="16" t="s">
        <v>88</v>
      </c>
      <c r="AC112" s="5" t="s">
        <v>131</v>
      </c>
      <c r="AD112" s="5" t="s">
        <v>166</v>
      </c>
    </row>
    <row r="113" spans="1:30" ht="20" hidden="1">
      <c r="A113" s="16" t="s">
        <v>173</v>
      </c>
      <c r="B113" s="16" t="str">
        <f t="shared" si="21"/>
        <v xml:space="preserve">شركة </v>
      </c>
      <c r="C113" s="16" t="str">
        <f t="shared" si="22"/>
        <v xml:space="preserve">العباسية </v>
      </c>
      <c r="D113" s="16" t="str">
        <f t="shared" si="23"/>
        <v>القاهرة</v>
      </c>
      <c r="E113" s="16" t="s">
        <v>169</v>
      </c>
      <c r="F113" s="16" t="s">
        <v>173</v>
      </c>
      <c r="G113" s="17" t="s">
        <v>69</v>
      </c>
      <c r="H113" s="16" t="s">
        <v>133</v>
      </c>
      <c r="I113" s="16" t="s">
        <v>133</v>
      </c>
      <c r="J113" s="16" t="s">
        <v>241</v>
      </c>
      <c r="K113" s="16" t="s">
        <v>241</v>
      </c>
      <c r="L113" s="16">
        <v>6000</v>
      </c>
      <c r="M113" s="16">
        <v>6000</v>
      </c>
      <c r="N113" s="16" t="str">
        <f t="shared" si="26"/>
        <v>كاش</v>
      </c>
      <c r="O113" s="18">
        <v>45615</v>
      </c>
      <c r="P113" s="18">
        <v>45631</v>
      </c>
      <c r="Q113" s="18">
        <v>45616</v>
      </c>
      <c r="R113" s="19">
        <f t="shared" si="15"/>
        <v>16</v>
      </c>
      <c r="S113" s="19">
        <f>IF(OR(ISBLANK(bb[[#This Row],[ميعاد الطلب]]),ISBLANK(bb[[#This Row],[تاريخ التسليم]])),0,bb[[#This Row],[تاريخ التسليم]]-bb[[#This Row],[ميعاد الطلب]])</f>
        <v>1</v>
      </c>
      <c r="T113" s="16" t="s">
        <v>214</v>
      </c>
      <c r="U113" s="16" t="s">
        <v>88</v>
      </c>
      <c r="AC113" s="5" t="s">
        <v>169</v>
      </c>
      <c r="AD113" s="5" t="s">
        <v>166</v>
      </c>
    </row>
    <row r="114" spans="1:30" ht="20">
      <c r="A114" s="16" t="s">
        <v>134</v>
      </c>
      <c r="B114" s="16" t="str">
        <f t="shared" si="21"/>
        <v xml:space="preserve">فرد </v>
      </c>
      <c r="C114" s="16" t="str">
        <f t="shared" si="22"/>
        <v xml:space="preserve">جليم الإسكندرية </v>
      </c>
      <c r="D114" s="16" t="str">
        <f t="shared" si="23"/>
        <v>القاهرة</v>
      </c>
      <c r="E114" s="16" t="s">
        <v>135</v>
      </c>
      <c r="F114" s="16" t="s">
        <v>5</v>
      </c>
      <c r="G114" s="17" t="s">
        <v>136</v>
      </c>
      <c r="H114" s="16" t="s">
        <v>241</v>
      </c>
      <c r="I114" s="16" t="s">
        <v>137</v>
      </c>
      <c r="J114" s="16" t="s">
        <v>241</v>
      </c>
      <c r="K114" s="16" t="s">
        <v>241</v>
      </c>
      <c r="L114" s="16">
        <v>8449</v>
      </c>
      <c r="M114" s="16" t="s">
        <v>11</v>
      </c>
      <c r="N114" s="16" t="str">
        <f t="shared" si="26"/>
        <v>مسبق الدفع</v>
      </c>
      <c r="O114" s="18">
        <v>45623</v>
      </c>
      <c r="P114" s="18">
        <v>45636</v>
      </c>
      <c r="Q114" s="18">
        <v>45649</v>
      </c>
      <c r="R114" s="19">
        <f t="shared" si="15"/>
        <v>13</v>
      </c>
      <c r="S114" s="19">
        <f>IF(OR(ISBLANK(bb[[#This Row],[ميعاد الطلب]]),ISBLANK(bb[[#This Row],[تاريخ التسليم]])),0,bb[[#This Row],[تاريخ التسليم]]-bb[[#This Row],[ميعاد الطلب]])</f>
        <v>26</v>
      </c>
      <c r="T114" s="16" t="s">
        <v>213</v>
      </c>
      <c r="U114" s="16" t="s">
        <v>88</v>
      </c>
      <c r="AC114" s="5" t="s">
        <v>135</v>
      </c>
      <c r="AD114" s="5" t="s">
        <v>166</v>
      </c>
    </row>
    <row r="115" spans="1:30" ht="20" hidden="1">
      <c r="A115" s="16" t="s">
        <v>138</v>
      </c>
      <c r="B115" s="16" t="str">
        <f t="shared" si="21"/>
        <v xml:space="preserve">فرد </v>
      </c>
      <c r="C115" s="16" t="str">
        <f t="shared" si="22"/>
        <v xml:space="preserve">مدينه نصر </v>
      </c>
      <c r="D115" s="16" t="str">
        <f t="shared" si="23"/>
        <v>القاهرة</v>
      </c>
      <c r="E115" s="16" t="s">
        <v>28</v>
      </c>
      <c r="F115" s="16" t="s">
        <v>5</v>
      </c>
      <c r="G115" s="17" t="s">
        <v>136</v>
      </c>
      <c r="H115" s="16" t="s">
        <v>139</v>
      </c>
      <c r="I115" s="16" t="s">
        <v>140</v>
      </c>
      <c r="J115" s="16" t="s">
        <v>241</v>
      </c>
      <c r="K115" s="16" t="s">
        <v>155</v>
      </c>
      <c r="L115" s="16">
        <v>10249</v>
      </c>
      <c r="M115" s="16">
        <v>6211</v>
      </c>
      <c r="N115" s="16" t="str">
        <f t="shared" si="26"/>
        <v>كاش</v>
      </c>
      <c r="O115" s="18">
        <v>45623</v>
      </c>
      <c r="P115" s="18">
        <v>45636</v>
      </c>
      <c r="Q115" s="18">
        <v>45645</v>
      </c>
      <c r="R115" s="19">
        <f t="shared" si="15"/>
        <v>13</v>
      </c>
      <c r="S115" s="19">
        <f>IF(OR(ISBLANK(bb[[#This Row],[ميعاد الطلب]]),ISBLANK(bb[[#This Row],[تاريخ التسليم]])),0,bb[[#This Row],[تاريخ التسليم]]-bb[[#This Row],[ميعاد الطلب]])</f>
        <v>22</v>
      </c>
      <c r="T115" s="16" t="s">
        <v>215</v>
      </c>
      <c r="U115" s="16" t="s">
        <v>88</v>
      </c>
      <c r="AC115" s="5" t="s">
        <v>28</v>
      </c>
      <c r="AD115" s="5" t="s">
        <v>166</v>
      </c>
    </row>
    <row r="116" spans="1:30" ht="20">
      <c r="A116" s="16" t="s">
        <v>141</v>
      </c>
      <c r="B116" s="16" t="str">
        <f t="shared" si="21"/>
        <v xml:space="preserve">فرد </v>
      </c>
      <c r="C116" s="16" t="str">
        <f t="shared" si="22"/>
        <v>المندره اسكندريه</v>
      </c>
      <c r="D116" s="16" t="str">
        <f t="shared" si="23"/>
        <v>الإسكندرية</v>
      </c>
      <c r="E116" s="16" t="s">
        <v>142</v>
      </c>
      <c r="F116" s="16" t="s">
        <v>5</v>
      </c>
      <c r="G116" s="17" t="s">
        <v>58</v>
      </c>
      <c r="H116" s="16" t="s">
        <v>145</v>
      </c>
      <c r="I116" s="16" t="s">
        <v>63</v>
      </c>
      <c r="J116" s="16">
        <v>100</v>
      </c>
      <c r="K116" s="16" t="s">
        <v>156</v>
      </c>
      <c r="L116" s="16">
        <v>14905</v>
      </c>
      <c r="M116" s="16" t="s">
        <v>11</v>
      </c>
      <c r="N116" s="16" t="str">
        <f t="shared" si="26"/>
        <v>مسبق الدفع</v>
      </c>
      <c r="O116" s="18">
        <v>45625</v>
      </c>
      <c r="P116" s="18">
        <v>45641</v>
      </c>
      <c r="Q116" s="18"/>
      <c r="R116" s="19">
        <f t="shared" si="15"/>
        <v>16</v>
      </c>
      <c r="S116" s="19">
        <f>IF(OR(ISBLANK(bb[[#This Row],[ميعاد الطلب]]),ISBLANK(bb[[#This Row],[تاريخ التسليم]])),0,bb[[#This Row],[تاريخ التسليم]]-bb[[#This Row],[ميعاد الطلب]])</f>
        <v>0</v>
      </c>
      <c r="T116" s="16" t="s">
        <v>170</v>
      </c>
      <c r="U116" s="16" t="s">
        <v>150</v>
      </c>
      <c r="AC116" s="5" t="s">
        <v>142</v>
      </c>
      <c r="AD116" s="5" t="s">
        <v>163</v>
      </c>
    </row>
    <row r="117" spans="1:30" ht="20" hidden="1">
      <c r="A117" s="16" t="s">
        <v>36</v>
      </c>
      <c r="B117" s="16" t="str">
        <f t="shared" si="21"/>
        <v xml:space="preserve">شركة </v>
      </c>
      <c r="C117" s="16" t="str">
        <f t="shared" si="22"/>
        <v xml:space="preserve">المخزن ابو الغيط </v>
      </c>
      <c r="D117" s="16" t="str">
        <f t="shared" si="23"/>
        <v>القاهرة</v>
      </c>
      <c r="E117" s="16" t="s">
        <v>89</v>
      </c>
      <c r="F117" s="16" t="s">
        <v>26</v>
      </c>
      <c r="G117" s="17" t="s">
        <v>58</v>
      </c>
      <c r="H117" s="16" t="s">
        <v>139</v>
      </c>
      <c r="I117" s="16" t="s">
        <v>127</v>
      </c>
      <c r="J117" s="16">
        <v>90</v>
      </c>
      <c r="K117" s="16" t="s">
        <v>71</v>
      </c>
      <c r="L117" s="16">
        <v>5217</v>
      </c>
      <c r="M117" s="16" t="s">
        <v>38</v>
      </c>
      <c r="N117" s="16" t="str">
        <f t="shared" si="26"/>
        <v>حساب شركه</v>
      </c>
      <c r="O117" s="18">
        <v>45627</v>
      </c>
      <c r="P117" s="18">
        <v>45640</v>
      </c>
      <c r="Q117" s="18">
        <v>45636</v>
      </c>
      <c r="R117" s="19">
        <f t="shared" si="15"/>
        <v>13</v>
      </c>
      <c r="S117" s="19">
        <f>IF(OR(ISBLANK(bb[[#This Row],[ميعاد الطلب]]),ISBLANK(bb[[#This Row],[تاريخ التسليم]])),0,bb[[#This Row],[تاريخ التسليم]]-bb[[#This Row],[ميعاد الطلب]])</f>
        <v>9</v>
      </c>
      <c r="T117" s="16" t="s">
        <v>215</v>
      </c>
      <c r="U117" s="16" t="s">
        <v>88</v>
      </c>
      <c r="AC117" s="5" t="s">
        <v>89</v>
      </c>
      <c r="AD117" s="5" t="s">
        <v>89</v>
      </c>
    </row>
    <row r="118" spans="1:30" ht="20" hidden="1">
      <c r="A118" s="16" t="s">
        <v>205</v>
      </c>
      <c r="B118" s="16" t="str">
        <f t="shared" si="21"/>
        <v xml:space="preserve">فرد </v>
      </c>
      <c r="C118" s="16" t="str">
        <f t="shared" si="22"/>
        <v>العبور</v>
      </c>
      <c r="D118" s="16" t="str">
        <f t="shared" si="23"/>
        <v>القاهرة</v>
      </c>
      <c r="E118" s="16" t="s">
        <v>52</v>
      </c>
      <c r="F118" s="16" t="s">
        <v>5</v>
      </c>
      <c r="G118" s="17" t="s">
        <v>125</v>
      </c>
      <c r="H118" s="16" t="s">
        <v>59</v>
      </c>
      <c r="I118" s="16" t="s">
        <v>241</v>
      </c>
      <c r="J118" s="16" t="s">
        <v>241</v>
      </c>
      <c r="K118" s="16" t="s">
        <v>156</v>
      </c>
      <c r="L118" s="16">
        <v>10249</v>
      </c>
      <c r="M118" s="16">
        <v>6211</v>
      </c>
      <c r="N118" s="16" t="str">
        <f t="shared" si="26"/>
        <v>كاش</v>
      </c>
      <c r="O118" s="18">
        <v>45630</v>
      </c>
      <c r="P118" s="18">
        <v>45640</v>
      </c>
      <c r="Q118" s="18">
        <v>45645</v>
      </c>
      <c r="R118" s="19">
        <f t="shared" si="15"/>
        <v>10</v>
      </c>
      <c r="S118" s="19">
        <f>IF(OR(ISBLANK(bb[[#This Row],[ميعاد الطلب]]),ISBLANK(bb[[#This Row],[تاريخ التسليم]])),0,bb[[#This Row],[تاريخ التسليم]]-bb[[#This Row],[ميعاد الطلب]])</f>
        <v>15</v>
      </c>
      <c r="T118" s="16" t="s">
        <v>215</v>
      </c>
      <c r="U118" s="16" t="s">
        <v>88</v>
      </c>
      <c r="AC118" s="5" t="s">
        <v>52</v>
      </c>
      <c r="AD118" s="5" t="s">
        <v>166</v>
      </c>
    </row>
    <row r="119" spans="1:30" ht="20" hidden="1">
      <c r="A119" s="16" t="s">
        <v>143</v>
      </c>
      <c r="B119" s="16" t="str">
        <f t="shared" si="21"/>
        <v xml:space="preserve">فرد </v>
      </c>
      <c r="C119" s="16" t="str">
        <f t="shared" si="22"/>
        <v xml:space="preserve">اب تاون كايرو التجمع </v>
      </c>
      <c r="D119" s="16" t="str">
        <f t="shared" si="23"/>
        <v>القاهرة</v>
      </c>
      <c r="E119" s="16" t="s">
        <v>144</v>
      </c>
      <c r="F119" s="16" t="s">
        <v>24</v>
      </c>
      <c r="G119" s="17" t="s">
        <v>58</v>
      </c>
      <c r="H119" s="16" t="s">
        <v>145</v>
      </c>
      <c r="I119" s="16" t="s">
        <v>62</v>
      </c>
      <c r="J119" s="16" t="s">
        <v>241</v>
      </c>
      <c r="K119" s="16" t="s">
        <v>156</v>
      </c>
      <c r="L119" s="16">
        <v>10445</v>
      </c>
      <c r="M119" s="16">
        <v>7707</v>
      </c>
      <c r="N119" s="16" t="str">
        <f t="shared" si="26"/>
        <v>كاش</v>
      </c>
      <c r="O119" s="18">
        <v>45635</v>
      </c>
      <c r="P119" s="18">
        <v>45657</v>
      </c>
      <c r="Q119" s="18">
        <v>45638</v>
      </c>
      <c r="R119" s="19">
        <f t="shared" si="15"/>
        <v>22</v>
      </c>
      <c r="S119" s="19">
        <f>IF(OR(ISBLANK(bb[[#This Row],[ميعاد الطلب]]),ISBLANK(bb[[#This Row],[تاريخ التسليم]])),0,bb[[#This Row],[تاريخ التسليم]]-bb[[#This Row],[ميعاد الطلب]])</f>
        <v>3</v>
      </c>
      <c r="T119" s="16" t="s">
        <v>215</v>
      </c>
      <c r="U119" s="16" t="s">
        <v>88</v>
      </c>
      <c r="AC119" s="5" t="s">
        <v>144</v>
      </c>
      <c r="AD119" s="5" t="s">
        <v>166</v>
      </c>
    </row>
    <row r="120" spans="1:30" ht="20" hidden="1">
      <c r="A120" s="16" t="s">
        <v>206</v>
      </c>
      <c r="B120" s="16" t="str">
        <f t="shared" si="21"/>
        <v xml:space="preserve">فرد </v>
      </c>
      <c r="C120" s="16" t="str">
        <f t="shared" si="22"/>
        <v>القاهره الجديده</v>
      </c>
      <c r="D120" s="16" t="str">
        <f t="shared" si="23"/>
        <v>القاهرة</v>
      </c>
      <c r="E120" s="16" t="s">
        <v>30</v>
      </c>
      <c r="F120" s="16" t="s">
        <v>5</v>
      </c>
      <c r="G120" s="17" t="s">
        <v>136</v>
      </c>
      <c r="H120" s="16" t="s">
        <v>145</v>
      </c>
      <c r="I120" s="16" t="s">
        <v>140</v>
      </c>
      <c r="J120" s="16" t="s">
        <v>241</v>
      </c>
      <c r="K120" s="16" t="s">
        <v>156</v>
      </c>
      <c r="L120" s="16">
        <v>11199</v>
      </c>
      <c r="M120" s="16">
        <v>11257</v>
      </c>
      <c r="N120" s="16" t="str">
        <f t="shared" si="26"/>
        <v>كاش</v>
      </c>
      <c r="O120" s="18">
        <v>45638</v>
      </c>
      <c r="P120" s="18">
        <v>45650</v>
      </c>
      <c r="Q120" s="18">
        <v>45645</v>
      </c>
      <c r="R120" s="19">
        <f t="shared" si="15"/>
        <v>12</v>
      </c>
      <c r="S120" s="19">
        <f>IF(OR(ISBLANK(bb[[#This Row],[ميعاد الطلب]]),ISBLANK(bb[[#This Row],[تاريخ التسليم]])),0,bb[[#This Row],[تاريخ التسليم]]-bb[[#This Row],[ميعاد الطلب]])</f>
        <v>7</v>
      </c>
      <c r="T120" s="16" t="s">
        <v>215</v>
      </c>
      <c r="U120" s="16" t="s">
        <v>88</v>
      </c>
      <c r="AC120" s="5" t="s">
        <v>30</v>
      </c>
      <c r="AD120" s="5" t="s">
        <v>166</v>
      </c>
    </row>
    <row r="121" spans="1:30" ht="20" hidden="1">
      <c r="A121" s="16" t="s">
        <v>146</v>
      </c>
      <c r="B121" s="16" t="str">
        <f t="shared" si="21"/>
        <v xml:space="preserve">فرد </v>
      </c>
      <c r="C121" s="16" t="str">
        <f t="shared" si="22"/>
        <v xml:space="preserve">٦ اكتوبر الجيزه  </v>
      </c>
      <c r="D121" s="16" t="str">
        <f t="shared" si="23"/>
        <v>القاهرة</v>
      </c>
      <c r="E121" s="16" t="s">
        <v>159</v>
      </c>
      <c r="F121" s="16" t="s">
        <v>5</v>
      </c>
      <c r="G121" s="17" t="s">
        <v>125</v>
      </c>
      <c r="H121" s="16" t="s">
        <v>145</v>
      </c>
      <c r="I121" s="16" t="s">
        <v>60</v>
      </c>
      <c r="J121" s="16">
        <v>80</v>
      </c>
      <c r="K121" s="16" t="s">
        <v>156</v>
      </c>
      <c r="L121" s="16">
        <v>13099</v>
      </c>
      <c r="M121" s="16">
        <v>13231</v>
      </c>
      <c r="N121" s="16" t="str">
        <f t="shared" si="26"/>
        <v>كاش</v>
      </c>
      <c r="O121" s="18">
        <v>45638</v>
      </c>
      <c r="P121" s="18">
        <v>45654</v>
      </c>
      <c r="Q121" s="18">
        <v>45655</v>
      </c>
      <c r="R121" s="19">
        <f t="shared" si="15"/>
        <v>16</v>
      </c>
      <c r="S121" s="19">
        <f>IF(OR(ISBLANK(bb[[#This Row],[ميعاد الطلب]]),ISBLANK(bb[[#This Row],[تاريخ التسليم]])),0,bb[[#This Row],[تاريخ التسليم]]-bb[[#This Row],[ميعاد الطلب]])</f>
        <v>17</v>
      </c>
      <c r="T121" s="16" t="s">
        <v>215</v>
      </c>
      <c r="U121" s="16" t="s">
        <v>88</v>
      </c>
      <c r="AC121" s="5" t="s">
        <v>159</v>
      </c>
      <c r="AD121" s="5" t="s">
        <v>166</v>
      </c>
    </row>
    <row r="122" spans="1:30" ht="20">
      <c r="A122" s="16" t="s">
        <v>174</v>
      </c>
      <c r="B122" s="16" t="str">
        <f t="shared" si="21"/>
        <v xml:space="preserve">فرد </v>
      </c>
      <c r="C122" s="16" t="str">
        <f t="shared" si="22"/>
        <v>العجوزه - الجيزه</v>
      </c>
      <c r="D122" s="16" t="str">
        <f t="shared" si="23"/>
        <v>الجيزة</v>
      </c>
      <c r="E122" s="16" t="s">
        <v>10</v>
      </c>
      <c r="F122" s="16" t="s">
        <v>5</v>
      </c>
      <c r="G122" s="17" t="s">
        <v>58</v>
      </c>
      <c r="H122" s="16" t="s">
        <v>59</v>
      </c>
      <c r="I122" s="16" t="s">
        <v>241</v>
      </c>
      <c r="J122" s="16" t="s">
        <v>241</v>
      </c>
      <c r="K122" s="16" t="s">
        <v>241</v>
      </c>
      <c r="L122" s="16">
        <v>10360.486740959301</v>
      </c>
      <c r="M122" s="16" t="s">
        <v>11</v>
      </c>
      <c r="N122" s="16" t="str">
        <f t="shared" si="26"/>
        <v>مسبق الدفع</v>
      </c>
      <c r="O122" s="18">
        <v>45865</v>
      </c>
      <c r="P122" s="18"/>
      <c r="Q122" s="18">
        <v>45879</v>
      </c>
      <c r="R122" s="19">
        <f t="shared" si="15"/>
        <v>0</v>
      </c>
      <c r="S122" s="19">
        <f>IF(OR(ISBLANK(bb[[#This Row],[ميعاد الطلب]]),ISBLANK(bb[[#This Row],[تاريخ التسليم]])),0,bb[[#This Row],[تاريخ التسليم]]-bb[[#This Row],[ميعاد الطلب]])</f>
        <v>14</v>
      </c>
      <c r="T122" s="16" t="s">
        <v>213</v>
      </c>
      <c r="U122" s="16" t="s">
        <v>88</v>
      </c>
      <c r="AC122" s="5" t="s">
        <v>10</v>
      </c>
      <c r="AD122" s="5" t="s">
        <v>162</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98E4-4744-4BEA-AE48-4F90167E47CB}">
  <dimension ref="A1:BR35"/>
  <sheetViews>
    <sheetView tabSelected="1" topLeftCell="BH2" zoomScale="90" zoomScaleNormal="17" workbookViewId="0">
      <selection activeCell="BQ7" sqref="BQ7"/>
    </sheetView>
  </sheetViews>
  <sheetFormatPr defaultRowHeight="14"/>
  <cols>
    <col min="1" max="1" width="6.83203125" customWidth="1"/>
    <col min="2" max="2" width="13.5" bestFit="1" customWidth="1"/>
    <col min="3" max="3" width="13.9140625" bestFit="1" customWidth="1"/>
    <col min="5" max="5" width="8.6640625" style="23"/>
    <col min="6" max="6" width="15.6640625" bestFit="1" customWidth="1"/>
    <col min="10" max="10" width="8.6640625" style="23"/>
    <col min="12" max="12" width="18.5" bestFit="1" customWidth="1"/>
    <col min="13" max="13" width="13.6640625" bestFit="1" customWidth="1"/>
    <col min="15" max="15" width="8.6640625" style="23"/>
    <col min="17" max="17" width="14.83203125" bestFit="1" customWidth="1"/>
    <col min="18" max="18" width="15.25" bestFit="1" customWidth="1"/>
    <col min="20" max="20" width="8.6640625" style="23"/>
    <col min="21" max="21" width="14.83203125" bestFit="1" customWidth="1"/>
    <col min="22" max="22" width="13.75" bestFit="1" customWidth="1"/>
    <col min="23" max="23" width="14.83203125" bestFit="1" customWidth="1"/>
    <col min="24" max="24" width="13.25" bestFit="1" customWidth="1"/>
    <col min="25" max="25" width="8.6640625" style="23"/>
    <col min="28" max="28" width="14.83203125" bestFit="1" customWidth="1"/>
    <col min="29" max="29" width="27.25" bestFit="1" customWidth="1"/>
    <col min="30" max="30" width="23.6640625" bestFit="1" customWidth="1"/>
    <col min="31" max="31" width="9.6640625" style="23" bestFit="1" customWidth="1"/>
    <col min="32" max="32" width="8.6640625" bestFit="1" customWidth="1"/>
    <col min="33" max="33" width="13.5" bestFit="1" customWidth="1"/>
    <col min="34" max="34" width="13.9140625" bestFit="1" customWidth="1"/>
    <col min="35" max="36" width="8.6640625" bestFit="1" customWidth="1"/>
    <col min="37" max="37" width="8.6640625" style="23" bestFit="1" customWidth="1"/>
    <col min="38" max="38" width="8.6640625" bestFit="1" customWidth="1"/>
    <col min="39" max="39" width="13.5" bestFit="1" customWidth="1"/>
    <col min="40" max="40" width="13.9140625" bestFit="1" customWidth="1"/>
    <col min="41" max="41" width="8.6640625" bestFit="1" customWidth="1"/>
    <col min="42" max="42" width="8.6640625" style="23" bestFit="1" customWidth="1"/>
    <col min="43" max="43" width="8.6640625" bestFit="1" customWidth="1"/>
    <col min="44" max="44" width="13.5" bestFit="1" customWidth="1"/>
    <col min="45" max="45" width="13.9140625" bestFit="1" customWidth="1"/>
    <col min="46" max="46" width="8.6640625" bestFit="1" customWidth="1"/>
    <col min="47" max="47" width="8.6640625" style="23" bestFit="1" customWidth="1"/>
    <col min="48" max="48" width="8.25" bestFit="1" customWidth="1"/>
    <col min="49" max="49" width="13.5" bestFit="1" customWidth="1"/>
    <col min="50" max="50" width="13.9140625" bestFit="1" customWidth="1"/>
    <col min="51" max="52" width="8.25" bestFit="1" customWidth="1"/>
    <col min="53" max="53" width="8.25" style="23" bestFit="1" customWidth="1"/>
    <col min="54" max="54" width="15" bestFit="1" customWidth="1"/>
    <col min="55" max="55" width="13.9140625" bestFit="1" customWidth="1"/>
    <col min="56" max="57" width="8.25" bestFit="1" customWidth="1"/>
    <col min="58" max="58" width="8.25" style="23" bestFit="1" customWidth="1"/>
    <col min="59" max="59" width="8.4140625" bestFit="1" customWidth="1"/>
    <col min="60" max="61" width="13.5" bestFit="1" customWidth="1"/>
    <col min="62" max="62" width="13.9140625" bestFit="1" customWidth="1"/>
    <col min="63" max="63" width="8.25" style="23" bestFit="1" customWidth="1"/>
    <col min="64" max="64" width="13.5" bestFit="1" customWidth="1"/>
    <col min="65" max="65" width="13.9140625" bestFit="1" customWidth="1"/>
    <col min="66" max="66" width="8.25" style="23" bestFit="1" customWidth="1"/>
    <col min="67" max="67" width="8.5" bestFit="1" customWidth="1"/>
    <col min="68" max="68" width="13.25" bestFit="1" customWidth="1"/>
    <col min="69" max="69" width="25.75" bestFit="1" customWidth="1"/>
    <col min="70" max="70" width="22.33203125" bestFit="1" customWidth="1"/>
    <col min="71" max="84" width="2.83203125" bestFit="1" customWidth="1"/>
    <col min="85" max="85" width="3.9140625" bestFit="1" customWidth="1"/>
    <col min="86" max="86" width="2.83203125" bestFit="1" customWidth="1"/>
    <col min="87" max="87" width="3.9140625" bestFit="1" customWidth="1"/>
    <col min="88" max="95" width="2.83203125" bestFit="1" customWidth="1"/>
    <col min="96" max="97" width="3.9140625" bestFit="1" customWidth="1"/>
    <col min="98" max="105" width="2.83203125" bestFit="1" customWidth="1"/>
    <col min="106" max="106" width="11.25" bestFit="1" customWidth="1"/>
    <col min="107" max="107" width="4.4140625" bestFit="1" customWidth="1"/>
    <col min="108" max="110" width="2.83203125" bestFit="1" customWidth="1"/>
    <col min="111" max="111" width="7.75" bestFit="1" customWidth="1"/>
    <col min="112" max="112" width="4.4140625" bestFit="1" customWidth="1"/>
    <col min="113" max="114" width="1.83203125" bestFit="1" customWidth="1"/>
    <col min="115" max="117" width="2.83203125" bestFit="1" customWidth="1"/>
    <col min="118" max="118" width="7.75" bestFit="1" customWidth="1"/>
    <col min="119" max="119" width="4.4140625" bestFit="1" customWidth="1"/>
    <col min="120" max="120" width="1.83203125" bestFit="1" customWidth="1"/>
    <col min="121" max="122" width="2.83203125" bestFit="1" customWidth="1"/>
    <col min="123" max="123" width="7.75" bestFit="1" customWidth="1"/>
    <col min="124" max="124" width="4.4140625" bestFit="1" customWidth="1"/>
    <col min="125" max="129" width="2.83203125" bestFit="1" customWidth="1"/>
    <col min="130" max="130" width="7.75" bestFit="1" customWidth="1"/>
    <col min="131" max="131" width="4.4140625" bestFit="1" customWidth="1"/>
    <col min="132" max="133" width="2.83203125" bestFit="1" customWidth="1"/>
    <col min="134" max="134" width="7.75" bestFit="1" customWidth="1"/>
    <col min="135" max="135" width="4.4140625" bestFit="1" customWidth="1"/>
    <col min="136" max="136" width="7.75" bestFit="1" customWidth="1"/>
    <col min="137" max="137" width="4.4140625" bestFit="1" customWidth="1"/>
    <col min="138" max="138" width="1.83203125" bestFit="1" customWidth="1"/>
    <col min="139" max="141" width="2.83203125" bestFit="1" customWidth="1"/>
    <col min="142" max="142" width="7.75" bestFit="1" customWidth="1"/>
    <col min="143" max="143" width="4.4140625" bestFit="1" customWidth="1"/>
    <col min="144" max="144" width="1.83203125" bestFit="1" customWidth="1"/>
    <col min="145" max="145" width="7.75" bestFit="1" customWidth="1"/>
    <col min="146" max="146" width="4.4140625" bestFit="1" customWidth="1"/>
    <col min="147" max="147" width="7.75" bestFit="1" customWidth="1"/>
    <col min="148" max="148" width="4.4140625" bestFit="1" customWidth="1"/>
    <col min="149" max="149" width="7.75" bestFit="1" customWidth="1"/>
    <col min="150" max="150" width="4.4140625" bestFit="1" customWidth="1"/>
    <col min="151" max="151" width="7.75" bestFit="1" customWidth="1"/>
    <col min="152" max="152" width="4.4140625" bestFit="1" customWidth="1"/>
    <col min="153" max="153" width="7.75" bestFit="1" customWidth="1"/>
    <col min="154" max="154" width="4.4140625" bestFit="1" customWidth="1"/>
    <col min="155" max="155" width="7.75" bestFit="1" customWidth="1"/>
    <col min="156" max="156" width="4.4140625" bestFit="1" customWidth="1"/>
    <col min="157" max="157" width="7.75" bestFit="1" customWidth="1"/>
    <col min="158" max="158" width="4.4140625" bestFit="1" customWidth="1"/>
    <col min="159" max="163" width="2.83203125" bestFit="1" customWidth="1"/>
    <col min="164" max="164" width="7.75" bestFit="1" customWidth="1"/>
    <col min="165" max="165" width="4.4140625" bestFit="1" customWidth="1"/>
    <col min="166" max="166" width="7.75" bestFit="1" customWidth="1"/>
    <col min="167" max="167" width="4.4140625" bestFit="1" customWidth="1"/>
    <col min="168" max="168" width="7.75" bestFit="1" customWidth="1"/>
    <col min="169" max="169" width="4.4140625" bestFit="1" customWidth="1"/>
    <col min="170" max="171" width="2.83203125" bestFit="1" customWidth="1"/>
    <col min="172" max="172" width="7.75" bestFit="1" customWidth="1"/>
    <col min="173" max="173" width="4.4140625" bestFit="1" customWidth="1"/>
    <col min="174" max="177" width="2.83203125" bestFit="1" customWidth="1"/>
    <col min="178" max="178" width="7.75" bestFit="1" customWidth="1"/>
    <col min="179" max="179" width="11.25" bestFit="1" customWidth="1"/>
  </cols>
  <sheetData>
    <row r="1" spans="1:70" ht="23">
      <c r="B1" s="36" t="s">
        <v>216</v>
      </c>
      <c r="C1" s="36"/>
      <c r="D1" s="36"/>
      <c r="F1" s="36" t="s">
        <v>218</v>
      </c>
      <c r="G1" s="36"/>
      <c r="H1" s="36"/>
      <c r="I1" s="36"/>
      <c r="K1" s="36" t="s">
        <v>220</v>
      </c>
      <c r="L1" s="36"/>
      <c r="M1" s="36"/>
      <c r="N1" s="36"/>
      <c r="P1" s="36" t="s">
        <v>222</v>
      </c>
      <c r="Q1" s="36"/>
      <c r="R1" s="36"/>
      <c r="S1" s="36"/>
      <c r="U1" s="36" t="s">
        <v>223</v>
      </c>
      <c r="V1" s="36"/>
      <c r="W1" s="36"/>
      <c r="X1" s="36"/>
      <c r="Z1" s="36" t="s">
        <v>225</v>
      </c>
      <c r="AA1" s="36"/>
      <c r="AB1" s="36"/>
      <c r="AC1" s="36"/>
      <c r="AD1" s="36"/>
      <c r="AG1" s="36" t="s">
        <v>233</v>
      </c>
      <c r="AH1" s="36"/>
      <c r="AI1" s="36"/>
      <c r="AJ1" s="36"/>
      <c r="AM1" s="36" t="s">
        <v>234</v>
      </c>
      <c r="AN1" s="36"/>
      <c r="AO1" s="36"/>
      <c r="AR1" s="36" t="s">
        <v>235</v>
      </c>
      <c r="AS1" s="36"/>
      <c r="AT1" s="36"/>
      <c r="AW1" s="36" t="s">
        <v>236</v>
      </c>
      <c r="AX1" s="36"/>
      <c r="AY1" s="36"/>
      <c r="AZ1" s="24"/>
      <c r="BC1" s="36" t="s">
        <v>240</v>
      </c>
      <c r="BD1" s="36"/>
      <c r="BE1" s="36"/>
    </row>
    <row r="3" spans="1:70">
      <c r="B3" s="1" t="s">
        <v>151</v>
      </c>
      <c r="C3" t="s">
        <v>217</v>
      </c>
      <c r="F3" t="s">
        <v>219</v>
      </c>
      <c r="AR3" s="1" t="s">
        <v>171</v>
      </c>
      <c r="AS3" s="7" t="s">
        <v>239</v>
      </c>
      <c r="BB3" s="1" t="s">
        <v>151</v>
      </c>
      <c r="BC3" t="s">
        <v>217</v>
      </c>
    </row>
    <row r="4" spans="1:70">
      <c r="B4" s="2" t="s">
        <v>88</v>
      </c>
      <c r="C4" s="25">
        <v>1021090.3921809593</v>
      </c>
      <c r="F4" s="3">
        <v>121</v>
      </c>
      <c r="L4" s="25" t="s">
        <v>221</v>
      </c>
      <c r="Q4" s="26" t="s">
        <v>151</v>
      </c>
      <c r="R4" s="25" t="s">
        <v>217</v>
      </c>
      <c r="AA4" s="32"/>
      <c r="AB4" s="26" t="s">
        <v>151</v>
      </c>
      <c r="AC4" s="25" t="s">
        <v>227</v>
      </c>
      <c r="AD4" s="25" t="s">
        <v>226</v>
      </c>
      <c r="AG4" s="1" t="s">
        <v>151</v>
      </c>
      <c r="AH4" t="s">
        <v>217</v>
      </c>
      <c r="BB4" s="2" t="s">
        <v>24</v>
      </c>
      <c r="BC4" s="28">
        <v>0.29226648706567981</v>
      </c>
    </row>
    <row r="5" spans="1:70">
      <c r="B5" s="2" t="s">
        <v>86</v>
      </c>
      <c r="C5" s="25">
        <v>33687</v>
      </c>
      <c r="L5" s="25">
        <v>10326.169184841328</v>
      </c>
      <c r="Q5" s="27" t="s">
        <v>136</v>
      </c>
      <c r="R5" s="30">
        <v>9.8858054882400806E-2</v>
      </c>
      <c r="U5" s="26" t="s">
        <v>153</v>
      </c>
      <c r="V5" s="25" t="s">
        <v>224</v>
      </c>
      <c r="AA5" s="27"/>
      <c r="AB5" s="27" t="s">
        <v>212</v>
      </c>
      <c r="AC5" s="25">
        <v>8</v>
      </c>
      <c r="AD5" s="25">
        <v>8</v>
      </c>
      <c r="AG5" s="2" t="s">
        <v>237</v>
      </c>
      <c r="AH5" s="30">
        <v>1.2912177879969738E-2</v>
      </c>
      <c r="AM5" s="1" t="s">
        <v>151</v>
      </c>
      <c r="AN5" t="s">
        <v>217</v>
      </c>
      <c r="AR5" s="1" t="s">
        <v>151</v>
      </c>
      <c r="AS5" t="s">
        <v>217</v>
      </c>
      <c r="AW5" s="1" t="s">
        <v>151</v>
      </c>
      <c r="AX5" t="s">
        <v>217</v>
      </c>
      <c r="BB5" s="2" t="s">
        <v>173</v>
      </c>
      <c r="BC5" s="28">
        <v>0.12978870797516989</v>
      </c>
    </row>
    <row r="6" spans="1:70">
      <c r="B6" s="2" t="s">
        <v>150</v>
      </c>
      <c r="C6" s="25">
        <v>176513.91</v>
      </c>
      <c r="Q6" s="27" t="s">
        <v>65</v>
      </c>
      <c r="R6" s="30">
        <v>1.775424458495839E-2</v>
      </c>
      <c r="AA6" s="27"/>
      <c r="AB6" s="27" t="s">
        <v>213</v>
      </c>
      <c r="AC6" s="25">
        <v>20.25</v>
      </c>
      <c r="AD6" s="25">
        <v>18.7</v>
      </c>
      <c r="AG6" s="2" t="s">
        <v>232</v>
      </c>
      <c r="AH6" s="30">
        <v>3.40038062411483E-2</v>
      </c>
      <c r="AM6" s="2" t="s">
        <v>163</v>
      </c>
      <c r="AN6" s="28">
        <v>3.0637370064698195E-2</v>
      </c>
      <c r="AR6" s="2" t="s">
        <v>36</v>
      </c>
      <c r="AS6" s="29">
        <v>0.18221699922593532</v>
      </c>
      <c r="AW6" s="2" t="s">
        <v>5</v>
      </c>
      <c r="AX6" s="30">
        <v>0.67734257796611308</v>
      </c>
      <c r="BB6" s="2" t="s">
        <v>176</v>
      </c>
      <c r="BC6" s="28">
        <v>0.1010066439816531</v>
      </c>
    </row>
    <row r="7" spans="1:70">
      <c r="B7" s="2" t="s">
        <v>93</v>
      </c>
      <c r="C7" s="25">
        <v>7849</v>
      </c>
      <c r="Q7" s="27" t="s">
        <v>58</v>
      </c>
      <c r="R7" s="30">
        <v>0.64051447667711503</v>
      </c>
      <c r="U7" s="26" t="s">
        <v>151</v>
      </c>
      <c r="V7" s="25" t="s">
        <v>211</v>
      </c>
      <c r="AA7" s="27"/>
      <c r="AB7" s="27" t="s">
        <v>21</v>
      </c>
      <c r="AC7" s="25">
        <v>7.666666666666667</v>
      </c>
      <c r="AD7" s="25">
        <v>0</v>
      </c>
      <c r="AG7" s="2" t="s">
        <v>228</v>
      </c>
      <c r="AH7" s="30">
        <v>7.202816327005869E-2</v>
      </c>
      <c r="AM7" s="2" t="s">
        <v>165</v>
      </c>
      <c r="AN7" s="28">
        <v>5.2889894618591039E-2</v>
      </c>
      <c r="AR7" s="2" t="s">
        <v>173</v>
      </c>
      <c r="AS7" s="29">
        <v>0.25148132358434838</v>
      </c>
      <c r="AW7" s="2" t="s">
        <v>24</v>
      </c>
      <c r="AX7" s="30">
        <v>0.10715655020363385</v>
      </c>
      <c r="BB7" s="2" t="s">
        <v>50</v>
      </c>
      <c r="BC7" s="28">
        <v>9.7943763932264769E-2</v>
      </c>
      <c r="BI7" s="1" t="s">
        <v>151</v>
      </c>
      <c r="BJ7" t="s">
        <v>217</v>
      </c>
    </row>
    <row r="8" spans="1:70">
      <c r="B8" s="2" t="s">
        <v>152</v>
      </c>
      <c r="C8" s="3">
        <v>1239140.3021809591</v>
      </c>
      <c r="Q8" s="27" t="s">
        <v>125</v>
      </c>
      <c r="R8" s="30">
        <v>3.4798319386518443E-2</v>
      </c>
      <c r="U8" s="27" t="s">
        <v>212</v>
      </c>
      <c r="V8" s="25">
        <v>4</v>
      </c>
      <c r="AA8" s="27"/>
      <c r="AB8" s="27" t="s">
        <v>170</v>
      </c>
      <c r="AC8" s="25">
        <v>27.857142857142858</v>
      </c>
      <c r="AD8" s="25">
        <v>0</v>
      </c>
      <c r="AG8" s="2" t="s">
        <v>229</v>
      </c>
      <c r="AH8" s="30">
        <v>0.5410614107377244</v>
      </c>
      <c r="AM8" s="2" t="s">
        <v>162</v>
      </c>
      <c r="AN8" s="28">
        <v>0.17842490180637482</v>
      </c>
      <c r="AR8" s="2" t="s">
        <v>24</v>
      </c>
      <c r="AS8" s="29">
        <v>0.56630167718971613</v>
      </c>
      <c r="AW8" s="2" t="s">
        <v>26</v>
      </c>
      <c r="AX8" s="30">
        <v>5.5467415496879426E-2</v>
      </c>
      <c r="BB8" s="2" t="s">
        <v>36</v>
      </c>
      <c r="BC8" s="28">
        <v>9.4041611375225709E-2</v>
      </c>
      <c r="BI8" s="2" t="s">
        <v>136</v>
      </c>
      <c r="BJ8" s="28">
        <v>9.8858054882400806E-2</v>
      </c>
      <c r="BL8" s="1" t="s">
        <v>151</v>
      </c>
      <c r="BM8" t="s">
        <v>217</v>
      </c>
    </row>
    <row r="9" spans="1:70">
      <c r="Q9" s="27" t="s">
        <v>100</v>
      </c>
      <c r="R9" s="30">
        <v>0</v>
      </c>
      <c r="U9" s="27" t="s">
        <v>213</v>
      </c>
      <c r="V9" s="25">
        <v>20</v>
      </c>
      <c r="AA9" s="33"/>
      <c r="AB9" s="27" t="s">
        <v>214</v>
      </c>
      <c r="AC9" s="25">
        <v>16</v>
      </c>
      <c r="AD9" s="25">
        <v>1</v>
      </c>
      <c r="AG9" s="2" t="s">
        <v>230</v>
      </c>
      <c r="AH9" s="30">
        <v>0.17716138766015294</v>
      </c>
      <c r="AM9" s="2" t="s">
        <v>95</v>
      </c>
      <c r="AN9" s="28">
        <v>2.6784622678790955E-2</v>
      </c>
      <c r="AR9" s="2" t="s">
        <v>152</v>
      </c>
      <c r="AS9" s="28">
        <v>1</v>
      </c>
      <c r="AW9" s="2" t="s">
        <v>173</v>
      </c>
      <c r="AX9" s="30">
        <v>4.9873287061383109E-2</v>
      </c>
      <c r="BB9" s="2" t="s">
        <v>197</v>
      </c>
      <c r="BC9" s="28">
        <v>5.9676113903441866E-2</v>
      </c>
      <c r="BI9" s="2" t="s">
        <v>65</v>
      </c>
      <c r="BJ9" s="28">
        <v>1.775424458495839E-2</v>
      </c>
      <c r="BL9" s="2" t="s">
        <v>5</v>
      </c>
      <c r="BM9" s="28">
        <v>0.80639232963895646</v>
      </c>
    </row>
    <row r="10" spans="1:70" ht="26.5">
      <c r="A10" s="35">
        <f ca="1">NOW()</f>
        <v>46062.032985995371</v>
      </c>
      <c r="C10" s="22">
        <f>GETPIVOTDATA("سعر البيع ",$B$3,"الحاله","تم التسليم")</f>
        <v>1021090.3921809593</v>
      </c>
      <c r="F10" s="22">
        <f>GETPIVOTDATA("نوع المنتج",$F$3)</f>
        <v>121</v>
      </c>
      <c r="L10" s="21">
        <f>GETPIVOTDATA("سعر البيع ",$L$4)</f>
        <v>10326.169184841328</v>
      </c>
      <c r="Q10" s="27" t="s">
        <v>68</v>
      </c>
      <c r="R10" s="30">
        <v>7.5052033927324102E-3</v>
      </c>
      <c r="U10" s="27" t="s">
        <v>21</v>
      </c>
      <c r="V10" s="25">
        <v>3</v>
      </c>
      <c r="AB10" s="27" t="s">
        <v>215</v>
      </c>
      <c r="AC10" s="25">
        <v>22.898734177215189</v>
      </c>
      <c r="AD10" s="25">
        <v>19.278481012658229</v>
      </c>
      <c r="AG10" s="2" t="s">
        <v>231</v>
      </c>
      <c r="AH10" s="30">
        <v>0.12231383301248333</v>
      </c>
      <c r="AM10" s="2" t="s">
        <v>55</v>
      </c>
      <c r="AN10" s="28">
        <v>1.3919327754607377E-2</v>
      </c>
      <c r="AW10" s="2" t="s">
        <v>18</v>
      </c>
      <c r="AX10" s="30">
        <v>4.2656993648715023E-2</v>
      </c>
      <c r="BB10" s="2" t="s">
        <v>186</v>
      </c>
      <c r="BC10" s="28">
        <v>3.9867487701678792E-2</v>
      </c>
      <c r="BI10" s="2" t="s">
        <v>58</v>
      </c>
      <c r="BJ10" s="28">
        <v>0.64051447667711503</v>
      </c>
      <c r="BL10" s="2" t="s">
        <v>24</v>
      </c>
      <c r="BM10" s="28">
        <v>0.12757240274817794</v>
      </c>
      <c r="BP10" s="1" t="s">
        <v>151</v>
      </c>
      <c r="BQ10" s="7" t="s">
        <v>227</v>
      </c>
      <c r="BR10" s="7" t="s">
        <v>226</v>
      </c>
    </row>
    <row r="11" spans="1:70">
      <c r="Q11" s="27" t="s">
        <v>69</v>
      </c>
      <c r="R11" s="30">
        <v>0.20056970107627492</v>
      </c>
      <c r="U11" s="27" t="s">
        <v>170</v>
      </c>
      <c r="V11" s="25">
        <v>14</v>
      </c>
      <c r="AB11" s="27" t="s">
        <v>152</v>
      </c>
      <c r="AC11" s="25">
        <v>22.107438016528924</v>
      </c>
      <c r="AD11" s="25">
        <v>15.950413223140496</v>
      </c>
      <c r="AG11" s="2" t="s">
        <v>238</v>
      </c>
      <c r="AH11" s="30">
        <v>4.0519221198462532E-2</v>
      </c>
      <c r="AM11" s="2" t="s">
        <v>166</v>
      </c>
      <c r="AN11" s="28">
        <v>0.64021556606924646</v>
      </c>
      <c r="AW11" s="2" t="s">
        <v>20</v>
      </c>
      <c r="AX11" s="30">
        <v>2.215245517532308E-2</v>
      </c>
      <c r="BB11" s="2" t="s">
        <v>94</v>
      </c>
      <c r="BC11" s="28">
        <v>3.8611148756620584E-2</v>
      </c>
      <c r="BI11" s="2" t="s">
        <v>125</v>
      </c>
      <c r="BJ11" s="28">
        <v>3.4798319386518443E-2</v>
      </c>
      <c r="BL11" s="2" t="s">
        <v>26</v>
      </c>
      <c r="BM11" s="28">
        <v>6.60352676128656E-2</v>
      </c>
      <c r="BP11" s="2" t="s">
        <v>212</v>
      </c>
      <c r="BQ11" s="37">
        <v>8</v>
      </c>
      <c r="BR11" s="37">
        <v>8</v>
      </c>
    </row>
    <row r="12" spans="1:70">
      <c r="Q12" s="27" t="s">
        <v>152</v>
      </c>
      <c r="R12" s="28">
        <v>1</v>
      </c>
      <c r="U12" s="27" t="s">
        <v>214</v>
      </c>
      <c r="V12" s="25">
        <v>1</v>
      </c>
      <c r="AG12" s="2" t="s">
        <v>152</v>
      </c>
      <c r="AH12" s="28">
        <v>1</v>
      </c>
      <c r="AM12" s="2" t="s">
        <v>168</v>
      </c>
      <c r="AN12" s="28">
        <v>1.2976738769369587E-2</v>
      </c>
      <c r="AW12" s="2" t="s">
        <v>96</v>
      </c>
      <c r="AX12" s="30">
        <v>1.8678196003522454E-2</v>
      </c>
      <c r="BB12" s="2" t="s">
        <v>51</v>
      </c>
      <c r="BC12" s="28">
        <v>3.6699508827066359E-2</v>
      </c>
      <c r="BI12" s="2" t="s">
        <v>100</v>
      </c>
      <c r="BJ12" s="28">
        <v>0</v>
      </c>
      <c r="BL12" s="2" t="s">
        <v>152</v>
      </c>
      <c r="BM12" s="28">
        <v>1</v>
      </c>
      <c r="BP12" s="2" t="s">
        <v>213</v>
      </c>
      <c r="BQ12" s="37">
        <v>20.25</v>
      </c>
      <c r="BR12" s="37">
        <v>18.7</v>
      </c>
    </row>
    <row r="13" spans="1:70">
      <c r="U13" s="27" t="s">
        <v>215</v>
      </c>
      <c r="V13" s="25">
        <v>79</v>
      </c>
      <c r="AM13" s="2" t="s">
        <v>104</v>
      </c>
      <c r="AN13" s="28">
        <v>2.455089221652746E-2</v>
      </c>
      <c r="AW13" s="2" t="s">
        <v>172</v>
      </c>
      <c r="AX13" s="30">
        <v>1.2912177879969738E-2</v>
      </c>
      <c r="BB13" s="2" t="s">
        <v>190</v>
      </c>
      <c r="BC13" s="28">
        <v>3.6699508827066359E-2</v>
      </c>
      <c r="BI13" s="2" t="s">
        <v>68</v>
      </c>
      <c r="BJ13" s="28">
        <v>7.5052033927324102E-3</v>
      </c>
      <c r="BP13" s="2" t="s">
        <v>21</v>
      </c>
      <c r="BQ13" s="37">
        <v>7.666666666666667</v>
      </c>
      <c r="BR13" s="37">
        <v>0</v>
      </c>
    </row>
    <row r="14" spans="1:70">
      <c r="Q14" s="25" t="str">
        <f>Q5</f>
        <v>ترابيزه</v>
      </c>
      <c r="R14" s="31">
        <f>R5</f>
        <v>9.8858054882400806E-2</v>
      </c>
      <c r="U14" s="27" t="s">
        <v>152</v>
      </c>
      <c r="V14" s="25">
        <v>121</v>
      </c>
      <c r="AM14" s="2" t="s">
        <v>164</v>
      </c>
      <c r="AN14" s="28">
        <v>1.9600686021794062E-2</v>
      </c>
      <c r="AW14" s="2" t="s">
        <v>126</v>
      </c>
      <c r="AX14" s="30">
        <v>5.9686542250160114E-3</v>
      </c>
      <c r="BB14" s="2" t="s">
        <v>81</v>
      </c>
      <c r="BC14" s="28">
        <v>3.6699508827066359E-2</v>
      </c>
      <c r="BI14" s="2" t="s">
        <v>69</v>
      </c>
      <c r="BJ14" s="28">
        <v>0.20056970107627492</v>
      </c>
      <c r="BP14" s="2" t="s">
        <v>170</v>
      </c>
      <c r="BQ14" s="37">
        <v>27.857142857142858</v>
      </c>
      <c r="BR14" s="37">
        <v>0</v>
      </c>
    </row>
    <row r="15" spans="1:70">
      <c r="Q15" s="25" t="str">
        <f t="shared" ref="Q15:R15" si="0">Q6</f>
        <v>ركنة</v>
      </c>
      <c r="R15" s="31">
        <f t="shared" si="0"/>
        <v>1.775424458495839E-2</v>
      </c>
      <c r="AM15" s="2" t="s">
        <v>152</v>
      </c>
      <c r="AN15" s="28">
        <v>1</v>
      </c>
      <c r="AW15" s="2" t="s">
        <v>113</v>
      </c>
      <c r="AX15" s="30">
        <v>4.1440020883527877E-3</v>
      </c>
      <c r="BB15" s="2" t="s">
        <v>45</v>
      </c>
      <c r="BC15" s="28">
        <v>3.6699508827066359E-2</v>
      </c>
      <c r="BI15" s="2" t="s">
        <v>152</v>
      </c>
      <c r="BJ15" s="28">
        <v>1</v>
      </c>
      <c r="BP15" s="2" t="s">
        <v>214</v>
      </c>
      <c r="BQ15" s="37">
        <v>16</v>
      </c>
      <c r="BR15" s="37">
        <v>1</v>
      </c>
    </row>
    <row r="16" spans="1:70">
      <c r="Q16" s="25" t="str">
        <f t="shared" ref="Q16:R16" si="1">Q7</f>
        <v>سرير</v>
      </c>
      <c r="R16" s="31">
        <f t="shared" si="1"/>
        <v>0.64051447667711503</v>
      </c>
      <c r="AW16" s="2" t="s">
        <v>120</v>
      </c>
      <c r="AX16" s="30">
        <v>3.6476902510914509E-3</v>
      </c>
      <c r="BB16" s="2" t="s">
        <v>152</v>
      </c>
      <c r="BC16" s="28">
        <v>1</v>
      </c>
      <c r="BP16" s="2" t="s">
        <v>215</v>
      </c>
      <c r="BQ16" s="37">
        <v>22.898734177215189</v>
      </c>
      <c r="BR16" s="37">
        <v>19.278481012658229</v>
      </c>
    </row>
    <row r="17" spans="17:70">
      <c r="Q17" s="25" t="str">
        <f t="shared" ref="Q17:R17" si="2">Q8</f>
        <v xml:space="preserve">سرير </v>
      </c>
      <c r="R17" s="31">
        <f t="shared" si="2"/>
        <v>3.4798319386518443E-2</v>
      </c>
      <c r="AM17" t="str">
        <f>AM11</f>
        <v>القاهرة</v>
      </c>
      <c r="AN17" s="31">
        <f>GETPIVOTDATA("سعر البيع ",$AM$5,"المحافظة ","القاهرة")</f>
        <v>0.64021556606924646</v>
      </c>
      <c r="AW17" s="2" t="s">
        <v>152</v>
      </c>
      <c r="AX17" s="28">
        <v>1</v>
      </c>
      <c r="BP17" s="2" t="s">
        <v>152</v>
      </c>
      <c r="BQ17" s="3">
        <v>22.107438016528924</v>
      </c>
      <c r="BR17" s="3">
        <v>15.950413223140496</v>
      </c>
    </row>
    <row r="18" spans="17:70">
      <c r="Q18" s="25" t="str">
        <f t="shared" ref="Q18:R18" si="3">Q9</f>
        <v>شيزلونج</v>
      </c>
      <c r="R18" s="31">
        <f t="shared" si="3"/>
        <v>0</v>
      </c>
      <c r="AM18" t="str">
        <f>AM8</f>
        <v>الجيزة</v>
      </c>
      <c r="AN18" s="31">
        <f>GETPIVOTDATA("سعر البيع ",$AM$5,"المحافظة ","الجيزة")</f>
        <v>0.17842490180637482</v>
      </c>
    </row>
    <row r="19" spans="17:70">
      <c r="Q19" s="25" t="str">
        <f t="shared" ref="Q19:R19" si="4">Q10</f>
        <v>كرسى</v>
      </c>
      <c r="R19" s="31">
        <f t="shared" si="4"/>
        <v>7.5052033927324102E-3</v>
      </c>
      <c r="AM19" t="str">
        <f>AM7</f>
        <v>البحر الأحمر</v>
      </c>
      <c r="AN19" s="31">
        <f>AN7</f>
        <v>5.2889894618591039E-2</v>
      </c>
      <c r="AR19" s="31" t="str">
        <f>AR6</f>
        <v>اوسكار راتن</v>
      </c>
      <c r="AS19" s="31">
        <f>AS6</f>
        <v>0.18221699922593532</v>
      </c>
      <c r="AW19" s="31" t="str">
        <f>AW6</f>
        <v>هومزمارت</v>
      </c>
      <c r="AX19" s="31">
        <f>AX6</f>
        <v>0.67734257796611308</v>
      </c>
      <c r="BB19" t="str">
        <f>BB4</f>
        <v>شيك هومز</v>
      </c>
      <c r="BC19" s="31">
        <f>BC4</f>
        <v>0.29226648706567981</v>
      </c>
      <c r="BH19" s="1" t="s">
        <v>151</v>
      </c>
      <c r="BI19" t="s">
        <v>217</v>
      </c>
    </row>
    <row r="20" spans="17:70">
      <c r="Q20" s="25" t="str">
        <f t="shared" ref="Q20:R20" si="5">Q11</f>
        <v xml:space="preserve">كنبة </v>
      </c>
      <c r="R20" s="31">
        <f t="shared" si="5"/>
        <v>0.20056970107627492</v>
      </c>
      <c r="AR20" s="31" t="str">
        <f t="shared" ref="AR20:AS20" si="6">AR7</f>
        <v>تاكي</v>
      </c>
      <c r="AS20" s="31">
        <f t="shared" si="6"/>
        <v>0.25148132358434838</v>
      </c>
      <c r="AW20" s="31" t="str">
        <f t="shared" ref="AW20:AX20" si="7">AW7</f>
        <v>شيك هومز</v>
      </c>
      <c r="AX20" s="31">
        <f t="shared" si="7"/>
        <v>0.10715655020363385</v>
      </c>
      <c r="BB20" s="7" t="str">
        <f t="shared" ref="BB20:BC20" si="8">BB5</f>
        <v>تاكي</v>
      </c>
      <c r="BC20" s="31">
        <f t="shared" si="8"/>
        <v>0.12978870797516989</v>
      </c>
      <c r="BH20" s="2" t="s">
        <v>156</v>
      </c>
      <c r="BI20" s="28">
        <v>0.36382066709541461</v>
      </c>
    </row>
    <row r="21" spans="17:70">
      <c r="AR21" s="31" t="str">
        <f t="shared" ref="AR21:AS21" si="9">AR8</f>
        <v>شيك هومز</v>
      </c>
      <c r="AS21" s="31">
        <f t="shared" si="9"/>
        <v>0.56630167718971613</v>
      </c>
      <c r="AW21" s="31" t="str">
        <f t="shared" ref="AW21:AX21" si="10">AW8</f>
        <v xml:space="preserve">اوسكار ريتن </v>
      </c>
      <c r="AX21" s="31">
        <f t="shared" si="10"/>
        <v>5.5467415496879426E-2</v>
      </c>
      <c r="BB21" s="7" t="str">
        <f t="shared" ref="BB21:BC21" si="11">BB6</f>
        <v>احمد</v>
      </c>
      <c r="BC21" s="31">
        <f t="shared" si="11"/>
        <v>0.1010066439816531</v>
      </c>
      <c r="BH21" s="2" t="s">
        <v>155</v>
      </c>
      <c r="BI21" s="28">
        <v>0.26675834737224724</v>
      </c>
    </row>
    <row r="22" spans="17:70">
      <c r="BB22" s="7" t="str">
        <f t="shared" ref="BB22:BC22" si="12">BB7</f>
        <v>ساره</v>
      </c>
      <c r="BC22" s="31">
        <f t="shared" si="12"/>
        <v>9.7943763932264769E-2</v>
      </c>
      <c r="BH22" s="2" t="s">
        <v>241</v>
      </c>
      <c r="BI22" s="28">
        <v>0.17006195567726234</v>
      </c>
    </row>
    <row r="23" spans="17:70">
      <c r="BB23" s="7" t="str">
        <f t="shared" ref="BB23:BC23" si="13">BB8</f>
        <v>اوسكار راتن</v>
      </c>
      <c r="BC23" s="31">
        <f t="shared" si="13"/>
        <v>9.4041611375225709E-2</v>
      </c>
      <c r="BH23" s="2" t="s">
        <v>73</v>
      </c>
      <c r="BI23" s="28">
        <v>5.6897913711684081E-2</v>
      </c>
    </row>
    <row r="24" spans="17:70">
      <c r="BB24" s="7" t="str">
        <f t="shared" ref="BB24:BC24" si="14">BB9</f>
        <v>احمد خالد</v>
      </c>
      <c r="BC24" s="31">
        <f t="shared" si="14"/>
        <v>5.9676113903441866E-2</v>
      </c>
      <c r="BH24" s="2" t="s">
        <v>237</v>
      </c>
      <c r="BI24" s="28">
        <v>3.409920521124668E-2</v>
      </c>
    </row>
    <row r="25" spans="17:70">
      <c r="BB25" s="7" t="str">
        <f t="shared" ref="BB25:BC25" si="15">BB10</f>
        <v>هشام بسيونى</v>
      </c>
      <c r="BC25" s="31">
        <f t="shared" si="15"/>
        <v>3.9867487701678792E-2</v>
      </c>
      <c r="BH25" s="2" t="s">
        <v>116</v>
      </c>
      <c r="BI25" s="28">
        <v>2.8328010056156185E-2</v>
      </c>
    </row>
    <row r="26" spans="17:70">
      <c r="BB26" s="7" t="str">
        <f t="shared" ref="BB26:BC26" si="16">BB11</f>
        <v>الحج محمد السويس</v>
      </c>
      <c r="BC26" s="31">
        <f t="shared" si="16"/>
        <v>3.8611148756620584E-2</v>
      </c>
      <c r="BH26" s="2" t="s">
        <v>71</v>
      </c>
      <c r="BI26" s="28">
        <v>2.4731830300485418E-2</v>
      </c>
    </row>
    <row r="27" spans="17:70">
      <c r="BB27" s="7" t="str">
        <f t="shared" ref="BB27:BC27" si="17">BB12</f>
        <v>رحاب</v>
      </c>
      <c r="BC27" s="31">
        <f t="shared" si="17"/>
        <v>3.6699508827066359E-2</v>
      </c>
      <c r="BH27" s="2" t="s">
        <v>107</v>
      </c>
      <c r="BI27" s="28">
        <v>2.1431317661211341E-2</v>
      </c>
    </row>
    <row r="28" spans="17:70">
      <c r="BB28" s="7" t="str">
        <f t="shared" ref="BB28:BC28" si="18">BB13</f>
        <v>هبه عبد الفتاح</v>
      </c>
      <c r="BC28" s="31">
        <f t="shared" si="18"/>
        <v>3.6699508827066359E-2</v>
      </c>
      <c r="BH28" s="2" t="s">
        <v>74</v>
      </c>
      <c r="BI28" s="28">
        <v>2.0971090124801112E-2</v>
      </c>
    </row>
    <row r="29" spans="17:70">
      <c r="BB29" s="7" t="str">
        <f>BB14</f>
        <v>Mohamed Ayman</v>
      </c>
      <c r="BC29" s="31">
        <f>BC14</f>
        <v>3.6699508827066359E-2</v>
      </c>
      <c r="BH29" s="2" t="s">
        <v>77</v>
      </c>
      <c r="BI29" s="28">
        <v>1.2899662789491034E-2</v>
      </c>
    </row>
    <row r="30" spans="17:70">
      <c r="BB30" s="7" t="str">
        <f t="shared" ref="BB30:BC30" si="19">BB15</f>
        <v>حسام عبدون</v>
      </c>
      <c r="BC30" s="31">
        <f t="shared" si="19"/>
        <v>3.6699508827066359E-2</v>
      </c>
      <c r="BH30" s="2" t="s">
        <v>152</v>
      </c>
      <c r="BI30" s="28">
        <v>1</v>
      </c>
    </row>
    <row r="31" spans="17:70">
      <c r="BI31" s="31"/>
    </row>
    <row r="32" spans="17:70">
      <c r="BH32" t="str">
        <f>BH20</f>
        <v>أسود</v>
      </c>
      <c r="BI32" s="31">
        <f>BI20</f>
        <v>0.36382066709541461</v>
      </c>
    </row>
    <row r="33" spans="60:61">
      <c r="BH33" s="7" t="str">
        <f t="shared" ref="BH33:BI33" si="20">BH21</f>
        <v>أبيض</v>
      </c>
      <c r="BI33" s="31">
        <f t="shared" si="20"/>
        <v>0.26675834737224724</v>
      </c>
    </row>
    <row r="34" spans="60:61">
      <c r="BH34" s="7" t="str">
        <f t="shared" ref="BH34:BI34" si="21">BH22</f>
        <v>غير معروف</v>
      </c>
      <c r="BI34" s="31">
        <f t="shared" si="21"/>
        <v>0.17006195567726234</v>
      </c>
    </row>
    <row r="35" spans="60:61">
      <c r="BH35" s="7" t="str">
        <f t="shared" ref="BH35:BI35" si="22">BH23</f>
        <v>رمادى</v>
      </c>
      <c r="BI35" s="31">
        <f t="shared" si="22"/>
        <v>5.6897913711684081E-2</v>
      </c>
    </row>
  </sheetData>
  <mergeCells count="11">
    <mergeCell ref="BC1:BE1"/>
    <mergeCell ref="B1:D1"/>
    <mergeCell ref="F1:I1"/>
    <mergeCell ref="K1:N1"/>
    <mergeCell ref="P1:S1"/>
    <mergeCell ref="U1:X1"/>
    <mergeCell ref="Z1:AD1"/>
    <mergeCell ref="AG1:AJ1"/>
    <mergeCell ref="AM1:AO1"/>
    <mergeCell ref="AR1:AT1"/>
    <mergeCell ref="AW1:AY1"/>
  </mergeCells>
  <conditionalFormatting sqref="R14:R20">
    <cfRule type="dataBar" priority="4">
      <dataBar>
        <cfvo type="min"/>
        <cfvo type="max"/>
        <color rgb="FF638EC6"/>
      </dataBar>
      <extLst>
        <ext xmlns:x14="http://schemas.microsoft.com/office/spreadsheetml/2009/9/main" uri="{B025F937-C7B1-47D3-B67F-A62EFF666E3E}">
          <x14:id>{F75C869C-1633-4247-A301-D47F560CD3EB}</x14:id>
        </ext>
      </extLst>
    </cfRule>
  </conditionalFormatting>
  <conditionalFormatting pivot="1" sqref="AN6:AN14">
    <cfRule type="dataBar" priority="3">
      <dataBar>
        <cfvo type="min"/>
        <cfvo type="max"/>
        <color rgb="FF63C384"/>
      </dataBar>
      <extLst>
        <ext xmlns:x14="http://schemas.microsoft.com/office/spreadsheetml/2009/9/main" uri="{B025F937-C7B1-47D3-B67F-A62EFF666E3E}">
          <x14:id>{A93F97BE-AE99-4116-9175-3902A286FD55}</x14:id>
        </ext>
      </extLst>
    </cfRule>
  </conditionalFormatting>
  <pageMargins left="0.7" right="0.7" top="0.75" bottom="0.75" header="0.3" footer="0.3"/>
  <pageSetup orientation="portrait" r:id="rId16"/>
  <extLst>
    <ext xmlns:x14="http://schemas.microsoft.com/office/spreadsheetml/2009/9/main" uri="{78C0D931-6437-407d-A8EE-F0AAD7539E65}">
      <x14:conditionalFormattings>
        <x14:conditionalFormatting xmlns:xm="http://schemas.microsoft.com/office/excel/2006/main">
          <x14:cfRule type="dataBar" id="{F75C869C-1633-4247-A301-D47F560CD3EB}">
            <x14:dataBar minLength="0" maxLength="100" border="1" negativeBarBorderColorSameAsPositive="0">
              <x14:cfvo type="autoMin"/>
              <x14:cfvo type="autoMax"/>
              <x14:borderColor rgb="FF638EC6"/>
              <x14:negativeFillColor rgb="FFFF0000"/>
              <x14:negativeBorderColor rgb="FFFF0000"/>
              <x14:axisColor rgb="FF000000"/>
            </x14:dataBar>
          </x14:cfRule>
          <xm:sqref>R14:R20</xm:sqref>
        </x14:conditionalFormatting>
        <x14:conditionalFormatting xmlns:xm="http://schemas.microsoft.com/office/excel/2006/main" pivot="1">
          <x14:cfRule type="dataBar" id="{A93F97BE-AE99-4116-9175-3902A286FD55}">
            <x14:dataBar minLength="0" maxLength="100" border="1" negativeBarBorderColorSameAsPositive="0">
              <x14:cfvo type="autoMin"/>
              <x14:cfvo type="autoMax"/>
              <x14:borderColor rgb="FF63C384"/>
              <x14:negativeFillColor rgb="FFFF0000"/>
              <x14:negativeBorderColor rgb="FFFF0000"/>
              <x14:axisColor rgb="FF000000"/>
            </x14:dataBar>
          </x14:cfRule>
          <xm:sqref>AN6:AN14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2293-4F9D-49E3-8517-4ABC9184AA96}">
  <sheetPr codeName="Sheet4">
    <tabColor theme="7" tint="0.39997558519241921"/>
  </sheetPr>
  <dimension ref="A1"/>
  <sheetViews>
    <sheetView showGridLines="0" zoomScale="77" zoomScaleNormal="124" workbookViewId="0">
      <selection activeCell="R9" sqref="R9"/>
    </sheetView>
  </sheetViews>
  <sheetFormatPr defaultRowHeight="14"/>
  <cols>
    <col min="1" max="16384" width="8.664062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6BDB-E33F-4026-8016-9D6AB7FEDFCB}">
  <dimension ref="A1"/>
  <sheetViews>
    <sheetView showGridLines="0" zoomScale="71" workbookViewId="0">
      <selection activeCell="D12" sqref="D12"/>
    </sheetView>
  </sheetViews>
  <sheetFormatPr defaultRowHeight="14"/>
  <cols>
    <col min="1" max="16384" width="8.664062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7B0D-C5FD-4339-90F7-3D2FE4958218}">
  <sheetPr codeName="Sheet5"/>
  <dimension ref="X11"/>
  <sheetViews>
    <sheetView showGridLines="0" topLeftCell="A10" zoomScale="45" zoomScaleNormal="59" workbookViewId="0">
      <selection activeCell="AF25" sqref="AF25"/>
    </sheetView>
  </sheetViews>
  <sheetFormatPr defaultColWidth="8.9140625" defaultRowHeight="14"/>
  <cols>
    <col min="1" max="16384" width="8.9140625" style="8"/>
  </cols>
  <sheetData>
    <row r="11" spans="24:24">
      <c r="X11" s="8"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2FFCC9-88DE-47EA-8697-E6B12804F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 Cleaned</vt:lpstr>
      <vt:lpstr>PIVOT TABLE</vt:lpstr>
      <vt:lpstr>D</vt:lpstr>
      <vt:lpstr>Sheet1</vt:lpstr>
      <vt:lpstr>Dshbord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محمد الديب</cp:lastModifiedBy>
  <dcterms:created xsi:type="dcterms:W3CDTF">2015-06-05T18:17:20Z</dcterms:created>
  <dcterms:modified xsi:type="dcterms:W3CDTF">2026-02-08T22:47:30Z</dcterms:modified>
</cp:coreProperties>
</file>